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Source Data" sheetId="2" state="visible" r:id="rId4"/>
    <sheet name="Weekly Trend" sheetId="3" state="visible" r:id="rId5"/>
    <sheet name="Channel Analysis" sheetId="4" state="visible" r:id="rId6"/>
    <sheet name="Landing Pages" sheetId="5" state="visible" r:id="rId7"/>
    <sheet name="Assumptions" sheetId="6" state="visible" r:id="rId8"/>
  </sheets>
  <definedNames>
    <definedName function="false" hidden="false" localSheetId="0" name="_xlnm.Print_Area" vbProcedure="false">Dashboard!$A$1:$J$36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<sst xmlns="http://schemas.openxmlformats.org/spreadsheetml/2006/main" count="487" uniqueCount="134">
  <si>
    <t xml:space="preserve">Campaign Performance Review</t>
  </si>
  <si>
    <t xml:space="preserve">Decision handoff from simulated campaign data | 2026-04-06 to 2026-05-11 | channel economics, landing page actions and experiment signal</t>
  </si>
  <si>
    <t xml:space="preserve">Spend</t>
  </si>
  <si>
    <t xml:space="preserve">Revenue</t>
  </si>
  <si>
    <t xml:space="preserve">Conversions</t>
  </si>
  <si>
    <t xml:space="preserve">ROAS</t>
  </si>
  <si>
    <t xml:space="preserve">CPA</t>
  </si>
  <si>
    <t xml:space="preserve">Working media by week and channel</t>
  </si>
  <si>
    <t xml:space="preserve">Attributed simulated revenue</t>
  </si>
  <si>
    <t xml:space="preserve">Six-week outcome volume</t>
  </si>
  <si>
    <t xml:space="preserve">Against 4.0 planning guardrail</t>
  </si>
  <si>
    <t xml:space="preserve">Against EUR 18.00 ceiling</t>
  </si>
  <si>
    <t xml:space="preserve">Decision Queue</t>
  </si>
  <si>
    <t xml:space="preserve">Protect</t>
  </si>
  <si>
    <t xml:space="preserve">Retention email and high-intent search are the budget anchors.</t>
  </si>
  <si>
    <t xml:space="preserve">Diagnose</t>
  </si>
  <si>
    <t xml:space="preserve">Store locator and Display need page-speed and local relevance checks.</t>
  </si>
  <si>
    <t xml:space="preserve">Separate</t>
  </si>
  <si>
    <t xml:space="preserve">Keep media quality and landing-page friction as separate decision tracks.</t>
  </si>
  <si>
    <t xml:space="preserve">Experiment</t>
  </si>
  <si>
    <t xml:space="preserve">Use the short-form A/B signal as the next optimization path.</t>
  </si>
  <si>
    <t xml:space="preserve">Landing Page Action Center</t>
  </si>
  <si>
    <t xml:space="preserve">Page</t>
  </si>
  <si>
    <t xml:space="preserve">Device</t>
  </si>
  <si>
    <t xml:space="preserve">Issue</t>
  </si>
  <si>
    <t xml:space="preserve">Move</t>
  </si>
  <si>
    <t xml:space="preserve">Status</t>
  </si>
  <si>
    <t xml:space="preserve">/service-booking</t>
  </si>
  <si>
    <t xml:space="preserve">Mobile</t>
  </si>
  <si>
    <t xml:space="preserve">Strong conversion, low CPC</t>
  </si>
  <si>
    <t xml:space="preserve">Protect email list quality and test SMS reminder</t>
  </si>
  <si>
    <t xml:space="preserve">Desktop</t>
  </si>
  <si>
    <t xml:space="preserve">Best ROAS and strongest intent</t>
  </si>
  <si>
    <t xml:space="preserve">Use as retention reporting benchmark</t>
  </si>
  <si>
    <t xml:space="preserve">/promo</t>
  </si>
  <si>
    <t xml:space="preserve">Good traffic, slightly weaker checkout completion</t>
  </si>
  <si>
    <t xml:space="preserve">Keep budget stable and test shorter mobile form</t>
  </si>
  <si>
    <t xml:space="preserve">Optimize</t>
  </si>
  <si>
    <t xml:space="preserve">High CTR with steady CPA</t>
  </si>
  <si>
    <t xml:space="preserve">Use as benchmark for paid search landing pages</t>
  </si>
  <si>
    <t xml:space="preserve">/collection</t>
  </si>
  <si>
    <t xml:space="preserve">Awareness traffic converts below search and email</t>
  </si>
  <si>
    <t xml:space="preserve">Tighten audience and add product proof above the fold</t>
  </si>
  <si>
    <t xml:space="preserve">Fix page</t>
  </si>
  <si>
    <t xml:space="preserve">/store-locator</t>
  </si>
  <si>
    <t xml:space="preserve">High bounce and low CTR</t>
  </si>
  <si>
    <t xml:space="preserve">Improve local relevance and page speed on mobile</t>
  </si>
  <si>
    <t xml:space="preserve">Moderate conversion rate and low intent mix</t>
  </si>
  <si>
    <t xml:space="preserve">Retarget engaged visitors with stronger offer</t>
  </si>
  <si>
    <t xml:space="preserve">Low conversion volume</t>
  </si>
  <si>
    <t xml:space="preserve">Move budget to higher-intent segments until page improves</t>
  </si>
  <si>
    <t xml:space="preserve">Portfolio case study. No real company, client, user, advertising-platform, CRM or analytics account data.</t>
  </si>
  <si>
    <t xml:space="preserve">date</t>
  </si>
  <si>
    <t xml:space="preserve">channel</t>
  </si>
  <si>
    <t xml:space="preserve">campaign</t>
  </si>
  <si>
    <t xml:space="preserve">audience_segment</t>
  </si>
  <si>
    <t xml:space="preserve">device</t>
  </si>
  <si>
    <t xml:space="preserve">landing_page</t>
  </si>
  <si>
    <t xml:space="preserve">impressions</t>
  </si>
  <si>
    <t xml:space="preserve">clicks</t>
  </si>
  <si>
    <t xml:space="preserve">cost_eur</t>
  </si>
  <si>
    <t xml:space="preserve">conversions</t>
  </si>
  <si>
    <t xml:space="preserve">revenue_eur</t>
  </si>
  <si>
    <t xml:space="preserve">ctr</t>
  </si>
  <si>
    <t xml:space="preserve">cpc</t>
  </si>
  <si>
    <t xml:space="preserve">conversion_rate</t>
  </si>
  <si>
    <t xml:space="preserve">cpa</t>
  </si>
  <si>
    <t xml:space="preserve">roas</t>
  </si>
  <si>
    <t xml:space="preserve">2026-04-06</t>
  </si>
  <si>
    <t xml:space="preserve">Paid Search</t>
  </si>
  <si>
    <t xml:space="preserve">Spring Promo</t>
  </si>
  <si>
    <t xml:space="preserve">High-intent prospects</t>
  </si>
  <si>
    <t xml:space="preserve">Paid Social</t>
  </si>
  <si>
    <t xml:space="preserve">New Collection Awareness</t>
  </si>
  <si>
    <t xml:space="preserve">Lookalike audience</t>
  </si>
  <si>
    <t xml:space="preserve">Email</t>
  </si>
  <si>
    <t xml:space="preserve">Service Renewal</t>
  </si>
  <si>
    <t xml:space="preserve">Existing customers</t>
  </si>
  <si>
    <t xml:space="preserve">Display</t>
  </si>
  <si>
    <t xml:space="preserve">Store Locator Push</t>
  </si>
  <si>
    <t xml:space="preserve">Local prospects</t>
  </si>
  <si>
    <t xml:space="preserve">2026-04-13</t>
  </si>
  <si>
    <t xml:space="preserve">2026-04-20</t>
  </si>
  <si>
    <t xml:space="preserve">2026-04-27</t>
  </si>
  <si>
    <t xml:space="preserve">2026-05-04</t>
  </si>
  <si>
    <t xml:space="preserve">2026-05-11</t>
  </si>
  <si>
    <t xml:space="preserve">Weekly Trend</t>
  </si>
  <si>
    <t xml:space="preserve">Formula-driven six-week movement in spend, volume, revenue and efficiency.</t>
  </si>
  <si>
    <t xml:space="preserve">Week</t>
  </si>
  <si>
    <t xml:space="preserve">Impressions</t>
  </si>
  <si>
    <t xml:space="preserve">Clicks</t>
  </si>
  <si>
    <t xml:space="preserve">Cost</t>
  </si>
  <si>
    <t xml:space="preserve">CTR</t>
  </si>
  <si>
    <t xml:space="preserve">WoW Conv.</t>
  </si>
  <si>
    <t xml:space="preserve">04-06</t>
  </si>
  <si>
    <t xml:space="preserve">04-13</t>
  </si>
  <si>
    <t xml:space="preserve">04-20</t>
  </si>
  <si>
    <t xml:space="preserve">04-27</t>
  </si>
  <si>
    <t xml:space="preserve">05-04</t>
  </si>
  <si>
    <t xml:space="preserve">05-11</t>
  </si>
  <si>
    <t xml:space="preserve">Channel Analysis</t>
  </si>
  <si>
    <t xml:space="preserve">Performance split by acquisition role, volume, economics and budget signal.</t>
  </si>
  <si>
    <t xml:space="preserve">Channel</t>
  </si>
  <si>
    <t xml:space="preserve">Budget Signal</t>
  </si>
  <si>
    <t xml:space="preserve">Readout</t>
  </si>
  <si>
    <t xml:space="preserve">Retention list is the strongest economics engine.</t>
  </si>
  <si>
    <t xml:space="preserve">High-intent traffic carries scalable conversion volume.</t>
  </si>
  <si>
    <t xml:space="preserve">Awareness traffic works but needs tighter audience proof.</t>
  </si>
  <si>
    <t xml:space="preserve">Traffic quality and landing intent need diagnosis before scale.</t>
  </si>
  <si>
    <t xml:space="preserve">Device Readout</t>
  </si>
  <si>
    <t xml:space="preserve">Conversion Rate</t>
  </si>
  <si>
    <t xml:space="preserve">Landing Pages</t>
  </si>
  <si>
    <t xml:space="preserve">Page experience action center with friction, recommendation and owner-ready status.</t>
  </si>
  <si>
    <t xml:space="preserve">Landing Page</t>
  </si>
  <si>
    <t xml:space="preserve">Sessions</t>
  </si>
  <si>
    <t xml:space="preserve">Bounce Rate</t>
  </si>
  <si>
    <t xml:space="preserve">Avg. Duration</t>
  </si>
  <si>
    <t xml:space="preserve">Conv. Rate</t>
  </si>
  <si>
    <t xml:space="preserve">Primary Issue</t>
  </si>
  <si>
    <t xml:space="preserve">Recommendation</t>
  </si>
  <si>
    <t xml:space="preserve">Assumptions And Limits</t>
  </si>
  <si>
    <t xml:space="preserve">Scope boundaries for the simulated portfolio workbook.</t>
  </si>
  <si>
    <t xml:space="preserve">Area</t>
  </si>
  <si>
    <t xml:space="preserve">Statement</t>
  </si>
  <si>
    <t xml:space="preserve">Scope</t>
  </si>
  <si>
    <t xml:space="preserve">Six-week simulated campaign analytics case study.</t>
  </si>
  <si>
    <t xml:space="preserve">Data</t>
  </si>
  <si>
    <t xml:space="preserve">No real company, client, user, advertising or analytics data.</t>
  </si>
  <si>
    <t xml:space="preserve">Attribution</t>
  </si>
  <si>
    <t xml:space="preserve">Simplified last-touch style revenue attribution.</t>
  </si>
  <si>
    <t xml:space="preserve">Use</t>
  </si>
  <si>
    <t xml:space="preserve">Portfolio evidence for junior web, digital and campaign analytics roles.</t>
  </si>
  <si>
    <t xml:space="preserve">Limit</t>
  </si>
  <si>
    <t xml:space="preserve">No creative-level, keyword-level, consent-mode, offline conversion or incrementality data.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</si>
</sst>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#,##0"/>
    <numFmt numFmtId="167" formatCode="0.0%"/>
    <numFmt numFmtId="168" formatCode="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Segoe UI Semibold"/>
      <family val="0"/>
      <charset val="1"/>
    </font>
    <font>
      <sz val="10"/>
      <color rgb="FFDDECF1"/>
      <name val="Segoe UI"/>
      <family val="0"/>
      <charset val="1"/>
    </font>
    <font>
      <sz val="9"/>
      <color rgb="FF657184"/>
      <name val="Segoe UI"/>
      <family val="0"/>
      <charset val="1"/>
    </font>
    <font>
      <b val="true"/>
      <sz val="18"/>
      <color rgb="FF20242E"/>
      <name val="Segoe UI Semibold"/>
      <family val="0"/>
      <charset val="1"/>
    </font>
    <font>
      <b val="true"/>
      <sz val="12"/>
      <color rgb="FF20242E"/>
      <name val="Segoe UI Semibold"/>
      <family val="0"/>
      <charset val="1"/>
    </font>
    <font>
      <b val="true"/>
      <sz val="9"/>
      <color rgb="FF237A57"/>
      <name val="Segoe UI Semibold"/>
      <family val="0"/>
      <charset val="1"/>
    </font>
    <font>
      <sz val="9"/>
      <color rgb="FF20242E"/>
      <name val="Segoe UI"/>
      <family val="0"/>
      <charset val="1"/>
    </font>
    <font>
      <b val="true"/>
      <sz val="9"/>
      <color rgb="FFB56B17"/>
      <name val="Segoe UI Semibold"/>
      <family val="0"/>
      <charset val="1"/>
    </font>
    <font>
      <b val="true"/>
      <sz val="9"/>
      <color rgb="FF0F766E"/>
      <name val="Segoe UI Semibold"/>
      <family val="0"/>
      <charset val="1"/>
    </font>
    <font>
      <b val="true"/>
      <sz val="9"/>
      <color rgb="FF20242E"/>
      <name val="Segoe UI Semibold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20242E"/>
      <name val="Segoe UI Semibold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242E"/>
        <bgColor rgb="FF333300"/>
      </patternFill>
    </fill>
    <fill>
      <patternFill patternType="solid">
        <fgColor rgb="FF0F766E"/>
        <bgColor rgb="FF237A57"/>
      </patternFill>
    </fill>
    <fill>
      <patternFill patternType="solid">
        <fgColor rgb="FFFFFFFF"/>
        <bgColor rgb="FFFAFCFD"/>
      </patternFill>
    </fill>
    <fill>
      <patternFill patternType="solid">
        <fgColor rgb="FFEAF1F5"/>
        <bgColor rgb="FFE7F3F6"/>
      </patternFill>
    </fill>
    <fill>
      <patternFill patternType="solid">
        <fgColor rgb="FFFAFCFD"/>
        <bgColor rgb="FFF9F9F9"/>
      </patternFill>
    </fill>
    <fill>
      <patternFill patternType="solid">
        <fgColor rgb="FFF4F6F8"/>
        <bgColor rgb="FFF9F9F9"/>
      </patternFill>
    </fill>
    <fill>
      <patternFill patternType="solid">
        <fgColor rgb="FFE1F2E8"/>
        <bgColor rgb="FFE7F3F6"/>
      </patternFill>
    </fill>
    <fill>
      <patternFill patternType="solid">
        <fgColor rgb="FFE7F3F6"/>
        <bgColor rgb="FFEAF1F5"/>
      </patternFill>
    </fill>
    <fill>
      <patternFill patternType="solid">
        <fgColor rgb="FFFFF0DA"/>
        <bgColor rgb="FFF4F6F8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D8DEE8"/>
      </left>
      <right style="thin">
        <color rgb="FFD8DEE8"/>
      </right>
      <top style="thin">
        <color rgb="FFD8DEE8"/>
      </top>
      <bottom/>
      <diagonal/>
    </border>
    <border diagonalUp="false" diagonalDown="false">
      <left style="thin">
        <color rgb="FFD8DEE8"/>
      </left>
      <right style="thin">
        <color rgb="FFD8DEE8"/>
      </right>
      <top/>
      <bottom/>
      <diagonal/>
    </border>
    <border diagonalUp="false" diagonalDown="false">
      <left style="thin">
        <color rgb="FFD8DEE8"/>
      </left>
      <right style="thin">
        <color rgb="FFD8DEE8"/>
      </right>
      <top/>
      <bottom style="thin">
        <color rgb="FFD8DEE8"/>
      </bottom>
      <diagonal/>
    </border>
    <border diagonalUp="false" diagonalDown="false">
      <left/>
      <right/>
      <top/>
      <bottom style="thin">
        <color rgb="FFD8DEE8"/>
      </bottom>
      <diagonal/>
    </border>
    <border diagonalUp="false" diagonalDown="false">
      <left/>
      <right/>
      <top/>
      <bottom style="thin">
        <color rgb="FFE5EB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6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6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6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6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4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4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4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6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8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9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1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b val="1"/>
        <color rgb="FF237A57"/>
      </font>
      <fill>
        <patternFill>
          <bgColor rgb="FFE1F2E8"/>
        </patternFill>
      </fill>
    </dxf>
    <dxf>
      <font>
        <b val="1"/>
        <color rgb="FF0F766E"/>
      </font>
      <fill>
        <patternFill>
          <bgColor rgb="FFE7F3F6"/>
        </patternFill>
      </fill>
    </dxf>
    <dxf>
      <font>
        <b val="1"/>
        <color rgb="FFB56B17"/>
      </font>
      <fill>
        <patternFill>
          <bgColor rgb="FFFFF0DA"/>
        </patternFill>
      </fill>
    </dxf>
    <dxf>
      <fill>
        <patternFill patternType="solid">
          <fgColor rgb="FFEAF1F5"/>
          <bgColor rgb="FF000000"/>
        </patternFill>
      </fill>
    </dxf>
    <dxf>
      <fill>
        <patternFill patternType="solid">
          <fgColor rgb="FFFAFCF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0242E"/>
          <bgColor rgb="FF000000"/>
        </patternFill>
      </fill>
    </dxf>
    <dxf>
      <fill>
        <patternFill patternType="solid">
          <fgColor rgb="FFE1F2E8"/>
          <bgColor rgb="FF000000"/>
        </patternFill>
      </fill>
    </dxf>
    <dxf>
      <fill>
        <patternFill patternType="solid">
          <fgColor rgb="FFE7F3F6"/>
          <bgColor rgb="FF000000"/>
        </patternFill>
      </fill>
    </dxf>
    <dxf>
      <fill>
        <patternFill patternType="solid">
          <fgColor rgb="FFFFF0DA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237A57"/>
          <bgColor rgb="FF000000"/>
        </patternFill>
      </fill>
    </dxf>
    <dxf>
      <fill>
        <patternFill patternType="solid">
          <fgColor rgb="FFB56B1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6B17"/>
      <rgbColor rgb="FF800080"/>
      <rgbColor rgb="FF0F766E"/>
      <rgbColor rgb="FFD9D9D9"/>
      <rgbColor rgb="FF878787"/>
      <rgbColor rgb="FF9999FF"/>
      <rgbColor rgb="FF993366"/>
      <rgbColor rgb="FFFFF0DA"/>
      <rgbColor rgb="FFE1F2E8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237A57"/>
      <rgbColor rgb="FF0000FF"/>
      <rgbColor rgb="FF00CCFF"/>
      <rgbColor rgb="FFE7F3F6"/>
      <rgbColor rgb="FFDDECF1"/>
      <rgbColor rgb="FFF9F9F9"/>
      <rgbColor rgb="FFEAF1F5"/>
      <rgbColor rgb="FFF4F6F8"/>
      <rgbColor rgb="FFFAFCFD"/>
      <rgbColor rgb="FFE5EBF0"/>
      <rgbColor rgb="FF3366FF"/>
      <rgbColor rgb="FF33CCCC"/>
      <rgbColor rgb="FF99CC00"/>
      <rgbColor rgb="FFFFCC00"/>
      <rgbColor rgb="FFFF9900"/>
      <rgbColor rgb="FFFF6600"/>
      <rgbColor rgb="FF65718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0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3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Weekly conversions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'Weekly Trend'!E4</c:f>
              <c:strCache>
                <c:ptCount val="1"/>
                <c:pt idx="0">
                  <c:v>Conversions</c:v>
                </c:pt>
              </c:strCache>
            </c:strRef>
          </c:tx>
          <c:spPr>
            <a:solidFill>
              <a:srgbClr val="0F766E"/>
            </a:solidFill>
            <a:ln w="12600">
              <a:solidFill>
                <a:srgbClr val="0F766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'Weekly Trend'!$A$5:$A$10</c:f>
              <c:strCache>
                <c:ptCount val="6"/>
                <c:pt idx="0">
                  <c:v>04-06</c:v>
                </c:pt>
                <c:pt idx="1">
                  <c:v>04-13</c:v>
                </c:pt>
                <c:pt idx="2">
                  <c:v>04-20</c:v>
                </c:pt>
                <c:pt idx="3">
                  <c:v>04-27</c:v>
                </c:pt>
                <c:pt idx="4">
                  <c:v>05-04</c:v>
                </c:pt>
                <c:pt idx="5">
                  <c:v>05-11</c:v>
                </c:pt>
              </c:strCache>
            </c:strRef>
          </c:cat>
          <c:val>
            <c:numRef>
              <c:f>'Weekly Trend'!$E$5:$E$10</c:f>
              <c:numCache>
                <c:formatCode>General</c:formatCode>
                <c:ptCount val="6"/>
                <c:pt idx="0">
                  <c:v>386</c:v>
                </c:pt>
                <c:pt idx="1">
                  <c:v>399</c:v>
                </c:pt>
                <c:pt idx="2">
                  <c:v>413</c:v>
                </c:pt>
                <c:pt idx="3">
                  <c:v>426</c:v>
                </c:pt>
                <c:pt idx="4">
                  <c:v>440</c:v>
                </c:pt>
                <c:pt idx="5">
                  <c:v>453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5235145"/>
        <c:axId val="8581524"/>
      </c:lineChart>
      <c:catAx>
        <c:axId val="452351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Week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81524"/>
        <c:crosses val="autoZero"/>
        <c:auto val="1"/>
        <c:lblAlgn val="ctr"/>
        <c:lblOffset val="100"/>
        <c:noMultiLvlLbl val="0"/>
      </c:catAx>
      <c:valAx>
        <c:axId val="85815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Conversions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23514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ROAS by channel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'Channel Analysis'!I4</c:f>
              <c:strCache>
                <c:ptCount val="1"/>
                <c:pt idx="0">
                  <c:v>ROAS</c:v>
                </c:pt>
              </c:strCache>
            </c:strRef>
          </c:tx>
          <c:spPr>
            <a:solidFill>
              <a:srgbClr val="237A57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Analysis'!$A$5:$A$8</c:f>
              <c:strCache>
                <c:ptCount val="4"/>
                <c:pt idx="0">
                  <c:v>Email</c:v>
                </c:pt>
                <c:pt idx="1">
                  <c:v>Paid Search</c:v>
                </c:pt>
                <c:pt idx="2">
                  <c:v>Paid Social</c:v>
                </c:pt>
                <c:pt idx="3">
                  <c:v>Display</c:v>
                </c:pt>
              </c:strCache>
            </c:strRef>
          </c:cat>
          <c:val>
            <c:numRef>
              <c:f>'Channel Analysis'!$I$5:$I$8</c:f>
              <c:numCache>
                <c:formatCode>0.00</c:formatCode>
                <c:ptCount val="4"/>
                <c:pt idx="0">
                  <c:v>27.3888888888889</c:v>
                </c:pt>
                <c:pt idx="1">
                  <c:v>5.64406779661017</c:v>
                </c:pt>
                <c:pt idx="2">
                  <c:v>3.39130434782609</c:v>
                </c:pt>
                <c:pt idx="3">
                  <c:v>2.52459016393443</c:v>
                </c:pt>
              </c:numCache>
            </c:numRef>
          </c:val>
        </c:ser>
        <c:gapWidth val="150"/>
        <c:overlap val="0"/>
        <c:axId val="86859209"/>
        <c:axId val="34818890"/>
      </c:barChart>
      <c:catAx>
        <c:axId val="86859209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ROAS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818890"/>
        <c:crosses val="autoZero"/>
        <c:auto val="1"/>
        <c:lblAlgn val="ctr"/>
        <c:lblOffset val="100"/>
        <c:noMultiLvlLbl val="0"/>
      </c:catAx>
      <c:valAx>
        <c:axId val="348188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Channel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8592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Landing page conversion rate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'Landing Pages'!H4</c:f>
              <c:strCache>
                <c:ptCount val="1"/>
                <c:pt idx="0">
                  <c:v>Conv. Rate</c:v>
                </c:pt>
              </c:strCache>
            </c:strRef>
          </c:tx>
          <c:spPr>
            <a:solidFill>
              <a:srgbClr val="0F766E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'Landing Pages'!$A$5:$A$12</c:f>
              <c:strCache>
                <c:ptCount val="8"/>
                <c:pt idx="0">
                  <c:v>/service-booking</c:v>
                </c:pt>
                <c:pt idx="1">
                  <c:v>/service-booking</c:v>
                </c:pt>
                <c:pt idx="2">
                  <c:v>/promo</c:v>
                </c:pt>
                <c:pt idx="3">
                  <c:v>/promo</c:v>
                </c:pt>
                <c:pt idx="4">
                  <c:v>/collection</c:v>
                </c:pt>
                <c:pt idx="5">
                  <c:v>/store-locator</c:v>
                </c:pt>
                <c:pt idx="6">
                  <c:v>/collection</c:v>
                </c:pt>
                <c:pt idx="7">
                  <c:v>/store-locator</c:v>
                </c:pt>
              </c:strCache>
            </c:strRef>
          </c:cat>
          <c:val>
            <c:numRef>
              <c:f>'Landing Pages'!$H$5:$H$12</c:f>
              <c:numCache>
                <c:formatCode>0.0%</c:formatCode>
                <c:ptCount val="8"/>
                <c:pt idx="0">
                  <c:v>0.1128</c:v>
                </c:pt>
                <c:pt idx="1">
                  <c:v>0.0977</c:v>
                </c:pt>
                <c:pt idx="2">
                  <c:v>0.086</c:v>
                </c:pt>
                <c:pt idx="3">
                  <c:v>0.0746</c:v>
                </c:pt>
                <c:pt idx="4">
                  <c:v>0.0536</c:v>
                </c:pt>
                <c:pt idx="5">
                  <c:v>0.0508</c:v>
                </c:pt>
                <c:pt idx="6">
                  <c:v>0.0465</c:v>
                </c:pt>
                <c:pt idx="7">
                  <c:v>0.0441</c:v>
                </c:pt>
              </c:numCache>
            </c:numRef>
          </c:val>
        </c:ser>
        <c:gapWidth val="150"/>
        <c:overlap val="0"/>
        <c:axId val="27443192"/>
        <c:axId val="42139732"/>
      </c:barChart>
      <c:catAx>
        <c:axId val="27443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139732"/>
        <c:crosses val="autoZero"/>
        <c:auto val="1"/>
        <c:lblAlgn val="ctr"/>
        <c:lblOffset val="100"/>
        <c:noMultiLvlLbl val="0"/>
      </c:catAx>
      <c:valAx>
        <c:axId val="421397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Conversion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44319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9</xdr:row>
      <xdr:rowOff>0</xdr:rowOff>
    </xdr:from>
    <xdr:to>
      <xdr:col>4</xdr:col>
      <xdr:colOff>597600</xdr:colOff>
      <xdr:row>16</xdr:row>
      <xdr:rowOff>48600</xdr:rowOff>
    </xdr:to>
    <xdr:graphicFrame>
      <xdr:nvGraphicFramePr>
        <xdr:cNvPr id="1" name="Chart 1"/>
        <xdr:cNvGraphicFramePr/>
      </xdr:nvGraphicFramePr>
      <xdr:xfrm>
        <a:off x="0" y="2495520"/>
        <a:ext cx="4967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9</xdr:row>
      <xdr:rowOff>0</xdr:rowOff>
    </xdr:from>
    <xdr:to>
      <xdr:col>7</xdr:col>
      <xdr:colOff>834120</xdr:colOff>
      <xdr:row>16</xdr:row>
      <xdr:rowOff>48600</xdr:rowOff>
    </xdr:to>
    <xdr:graphicFrame>
      <xdr:nvGraphicFramePr>
        <xdr:cNvPr id="2" name="Chart 2"/>
        <xdr:cNvGraphicFramePr/>
      </xdr:nvGraphicFramePr>
      <xdr:xfrm>
        <a:off x="5356800" y="2495520"/>
        <a:ext cx="2807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24</xdr:row>
      <xdr:rowOff>0</xdr:rowOff>
    </xdr:from>
    <xdr:to>
      <xdr:col>8</xdr:col>
      <xdr:colOff>205560</xdr:colOff>
      <xdr:row>28</xdr:row>
      <xdr:rowOff>466560</xdr:rowOff>
    </xdr:to>
    <xdr:graphicFrame>
      <xdr:nvGraphicFramePr>
        <xdr:cNvPr id="3" name="Chart 3"/>
        <xdr:cNvGraphicFramePr/>
      </xdr:nvGraphicFramePr>
      <xdr:xfrm>
        <a:off x="5356800" y="7248600"/>
        <a:ext cx="3095640" cy="244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ampaignData" displayName="CampaignData" ref="A1:P49" headerRowCount="1" totalsRowCount="0" totalsRowShown="0">
  <autoFilter ref="A1:P49"/>
  <tableColumns count="16">
    <tableColumn id="1" name="date"/>
    <tableColumn id="2" name="channel"/>
    <tableColumn id="3" name="campaign"/>
    <tableColumn id="4" name="audience_segment"/>
    <tableColumn id="5" name="device"/>
    <tableColumn id="6" name="landing_page"/>
    <tableColumn id="7" name="impressions"/>
    <tableColumn id="8" name="clicks"/>
    <tableColumn id="9" name="cost_eur"/>
    <tableColumn id="10" name="conversions"/>
    <tableColumn id="11" name="revenue_eur"/>
    <tableColumn id="12" name="ctr"/>
    <tableColumn id="13" name="cpc"/>
    <tableColumn id="14" name="conversion_rate"/>
    <tableColumn id="15" name="cpa"/>
    <tableColumn id="16" name="roas"/>
  </tableColumns>
</table>
</file>

<file path=xl/tables/table2.xml><?xml version="1.0" encoding="utf-8"?>
<table xmlns="http://schemas.openxmlformats.org/spreadsheetml/2006/main" id="2" name="ChannelAnalysis" displayName="ChannelAnalysis" ref="A4:K8" headerRowCount="1" totalsRowCount="0" totalsRowShown="0">
  <autoFilter ref="A4:K8"/>
  <tableColumns count="11">
    <tableColumn id="1" name="Channel"/>
    <tableColumn id="2" name="Impressions"/>
    <tableColumn id="3" name="Clicks"/>
    <tableColumn id="4" name="Cost"/>
    <tableColumn id="5" name="Conversions"/>
    <tableColumn id="6" name="Revenue"/>
    <tableColumn id="7" name="CTR"/>
    <tableColumn id="8" name="CPA"/>
    <tableColumn id="9" name="ROAS"/>
    <tableColumn id="10" name="Budget Signal"/>
    <tableColumn id="11" name="Readout"/>
  </tableColumns>
</table>
</file>

<file path=xl/tables/table3.xml><?xml version="1.0" encoding="utf-8"?>
<table xmlns="http://schemas.openxmlformats.org/spreadsheetml/2006/main" id="3" name="LandingActionTable" displayName="LandingActionTable" ref="A4:K12" headerRowCount="1" totalsRowCount="0" totalsRowShown="0">
  <autoFilter ref="A4:K12"/>
  <tableColumns count="11">
    <tableColumn id="1" name="Landing Page"/>
    <tableColumn id="2" name="Device"/>
    <tableColumn id="3" name="Sessions"/>
    <tableColumn id="4" name="Bounce Rate"/>
    <tableColumn id="5" name="Avg. Duration"/>
    <tableColumn id="6" name="Conversions"/>
    <tableColumn id="7" name="Revenue"/>
    <tableColumn id="8" name="Conv. Rate"/>
    <tableColumn id="9" name="Primary Issue"/>
    <tableColumn id="10" name="Recommendation"/>
    <tableColumn id="11" name="Status"/>
  </tableColumns>
</table>
</file>

<file path=xl/tables/table4.xml><?xml version="1.0" encoding="utf-8"?>
<table xmlns="http://schemas.openxmlformats.org/spreadsheetml/2006/main" id="4" name="WeeklyTrend" displayName="WeeklyTrend" ref="A4:J10" headerRowCount="1" totalsRowCount="0" totalsRowShown="0">
  <autoFilter ref="A4:J10"/>
  <tableColumns count="10">
    <tableColumn id="1" name="Week"/>
    <tableColumn id="2" name="Impressions"/>
    <tableColumn id="3" name="Clicks"/>
    <tableColumn id="4" name="Cost"/>
    <tableColumn id="5" name="Conversions"/>
    <tableColumn id="6" name="Revenue"/>
    <tableColumn id="7" name="CTR"/>
    <tableColumn id="8" name="CPA"/>
    <tableColumn id="9" name="ROAS"/>
    <tableColumn id="10" name="WoW Conv.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453125" defaultRowHeight="21.7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10" min="9" style="0" width="18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4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4.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</row>
    <row r="4" customFormat="false" ht="22.5" hidden="false" customHeight="true" outlineLevel="0" collapsed="false">
      <c r="A4" s="4" t="s">
        <v>2</v>
      </c>
      <c r="B4" s="4"/>
      <c r="C4" s="4" t="s">
        <v>3</v>
      </c>
      <c r="D4" s="4"/>
      <c r="E4" s="4" t="s">
        <v>4</v>
      </c>
      <c r="F4" s="4"/>
      <c r="G4" s="4" t="s">
        <v>5</v>
      </c>
      <c r="H4" s="4"/>
      <c r="I4" s="4" t="s">
        <v>6</v>
      </c>
      <c r="J4" s="4"/>
    </row>
    <row r="5" customFormat="false" ht="22.5" hidden="false" customHeight="true" outlineLevel="0" collapsed="false">
      <c r="A5" s="5" t="str">
        <f aca="false">"EUR "&amp;FIXED(SUM('Source Data'!I2:I49),0)</f>
        <v>EUR 37.715</v>
      </c>
      <c r="B5" s="5"/>
      <c r="C5" s="5" t="str">
        <f aca="false">"EUR "&amp;FIXED(SUM('Source Data'!K2:K49),0)</f>
        <v>EUR 212.063</v>
      </c>
      <c r="D5" s="5"/>
      <c r="E5" s="5" t="str">
        <f aca="false">TEXT(SUM('Source Data'!J2:J49),"#,##0")</f>
        <v>2.517</v>
      </c>
      <c r="F5" s="5"/>
      <c r="G5" s="5" t="str">
        <f aca="false">TEXT(IF(SUM('Source Data'!I2:I49)=0,0,SUM('Source Data'!K2:K49)/SUM('Source Data'!I2:I49)),"0.00")</f>
        <v>5,62</v>
      </c>
      <c r="H5" s="5"/>
      <c r="I5" s="5" t="str">
        <f aca="false">"EUR "&amp;FIXED(IF(SUM('Source Data'!J2:J49)=0,0,SUM('Source Data'!I2:I49)/SUM('Source Data'!J2:J49)),2)</f>
        <v>EUR 14,98</v>
      </c>
      <c r="J5" s="5"/>
    </row>
    <row r="6" customFormat="false" ht="22.5" hidden="false" customHeight="tru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</row>
    <row r="7" customFormat="false" ht="22.5" hidden="false" customHeight="true" outlineLevel="0" collapsed="false">
      <c r="A7" s="6" t="s">
        <v>7</v>
      </c>
      <c r="B7" s="6"/>
      <c r="C7" s="6" t="s">
        <v>8</v>
      </c>
      <c r="D7" s="6"/>
      <c r="E7" s="6" t="s">
        <v>9</v>
      </c>
      <c r="F7" s="6"/>
      <c r="G7" s="6" t="s">
        <v>10</v>
      </c>
      <c r="H7" s="6"/>
      <c r="I7" s="6" t="s">
        <v>11</v>
      </c>
      <c r="J7" s="6"/>
    </row>
    <row r="8" customFormat="false" ht="22.5" hidden="false" customHeight="tru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</row>
    <row r="9" customFormat="false" ht="21.75" hidden="false" customHeight="true" outlineLevel="0" collapsed="false">
      <c r="A9" s="7"/>
      <c r="B9" s="7"/>
      <c r="C9" s="7"/>
      <c r="D9" s="7"/>
      <c r="E9" s="7"/>
      <c r="F9" s="7"/>
      <c r="G9" s="7"/>
      <c r="H9" s="7"/>
      <c r="I9" s="7"/>
      <c r="J9" s="7"/>
    </row>
    <row r="10" customFormat="false" ht="21.75" hidden="false" customHeight="true" outlineLevel="0" collapsed="false">
      <c r="A10" s="7"/>
      <c r="B10" s="7"/>
      <c r="C10" s="7"/>
      <c r="D10" s="7"/>
      <c r="E10" s="7"/>
      <c r="F10" s="7"/>
      <c r="G10" s="7"/>
      <c r="H10" s="7"/>
      <c r="I10" s="8" t="s">
        <v>12</v>
      </c>
      <c r="J10" s="8"/>
    </row>
    <row r="11" customFormat="false" ht="21.75" hidden="false" customHeight="true" outlineLevel="0" collapsed="false">
      <c r="A11" s="7"/>
      <c r="B11" s="7"/>
      <c r="C11" s="7"/>
      <c r="D11" s="7"/>
      <c r="E11" s="7"/>
      <c r="F11" s="7"/>
      <c r="G11" s="7"/>
      <c r="H11" s="7"/>
      <c r="I11" s="7"/>
      <c r="J11" s="7"/>
    </row>
    <row r="12" customFormat="false" ht="33.75" hidden="false" customHeight="true" outlineLevel="0" collapsed="false">
      <c r="A12" s="7"/>
      <c r="B12" s="7"/>
      <c r="C12" s="7"/>
      <c r="D12" s="7"/>
      <c r="E12" s="7"/>
      <c r="F12" s="7"/>
      <c r="G12" s="7"/>
      <c r="H12" s="7"/>
      <c r="I12" s="9" t="s">
        <v>13</v>
      </c>
      <c r="J12" s="10" t="s">
        <v>14</v>
      </c>
    </row>
    <row r="13" customFormat="false" ht="33.75" hidden="false" customHeight="true" outlineLevel="0" collapsed="false">
      <c r="A13" s="7"/>
      <c r="B13" s="7"/>
      <c r="C13" s="7"/>
      <c r="D13" s="7"/>
      <c r="E13" s="7"/>
      <c r="F13" s="7"/>
      <c r="G13" s="7"/>
      <c r="H13" s="7"/>
      <c r="I13" s="11" t="s">
        <v>15</v>
      </c>
      <c r="J13" s="10" t="s">
        <v>16</v>
      </c>
    </row>
    <row r="14" customFormat="false" ht="33.75" hidden="false" customHeight="true" outlineLevel="0" collapsed="false">
      <c r="A14" s="7"/>
      <c r="B14" s="7"/>
      <c r="C14" s="7"/>
      <c r="D14" s="7"/>
      <c r="E14" s="7"/>
      <c r="F14" s="7"/>
      <c r="G14" s="7"/>
      <c r="H14" s="7"/>
      <c r="I14" s="12" t="s">
        <v>17</v>
      </c>
      <c r="J14" s="10" t="s">
        <v>18</v>
      </c>
    </row>
    <row r="15" customFormat="false" ht="33.75" hidden="false" customHeight="true" outlineLevel="0" collapsed="false">
      <c r="A15" s="7"/>
      <c r="B15" s="7"/>
      <c r="C15" s="7"/>
      <c r="D15" s="7"/>
      <c r="E15" s="7"/>
      <c r="F15" s="7"/>
      <c r="G15" s="7"/>
      <c r="H15" s="7"/>
      <c r="I15" s="12" t="s">
        <v>19</v>
      </c>
      <c r="J15" s="10" t="s">
        <v>20</v>
      </c>
    </row>
    <row r="16" customFormat="false" ht="21.75" hidden="false" customHeight="true" outlineLevel="0" collapsed="false">
      <c r="A16" s="7"/>
      <c r="B16" s="7"/>
      <c r="C16" s="7"/>
      <c r="D16" s="7"/>
      <c r="E16" s="7"/>
      <c r="F16" s="7"/>
      <c r="G16" s="7"/>
      <c r="H16" s="7"/>
      <c r="I16" s="7"/>
      <c r="J16" s="7"/>
    </row>
    <row r="17" customFormat="false" ht="21.75" hidden="false" customHeight="true" outlineLevel="0" collapsed="false">
      <c r="A17" s="7"/>
      <c r="B17" s="7"/>
      <c r="C17" s="7"/>
      <c r="D17" s="7"/>
      <c r="E17" s="7"/>
      <c r="F17" s="7"/>
      <c r="G17" s="7"/>
      <c r="H17" s="7"/>
      <c r="I17" s="7"/>
      <c r="J17" s="7"/>
    </row>
    <row r="18" customFormat="false" ht="21.75" hidden="false" customHeight="true" outlineLevel="0" collapsed="false">
      <c r="A18" s="7"/>
      <c r="B18" s="7"/>
      <c r="C18" s="7"/>
      <c r="D18" s="7"/>
      <c r="E18" s="7"/>
      <c r="F18" s="7"/>
      <c r="G18" s="7"/>
      <c r="H18" s="7"/>
      <c r="I18" s="7"/>
      <c r="J18" s="7"/>
    </row>
    <row r="19" customFormat="false" ht="21.75" hidden="false" customHeight="true" outlineLevel="0" collapsed="false">
      <c r="A19" s="7"/>
      <c r="B19" s="7"/>
      <c r="C19" s="7"/>
      <c r="D19" s="7"/>
      <c r="E19" s="7"/>
      <c r="F19" s="7"/>
      <c r="G19" s="7"/>
      <c r="H19" s="7"/>
      <c r="I19" s="7"/>
      <c r="J19" s="7"/>
    </row>
    <row r="20" customFormat="false" ht="21.75" hidden="false" customHeight="true" outlineLevel="0" collapsed="false">
      <c r="A20" s="7"/>
      <c r="B20" s="7"/>
      <c r="C20" s="7"/>
      <c r="D20" s="7"/>
      <c r="E20" s="7"/>
      <c r="F20" s="7"/>
      <c r="G20" s="7"/>
      <c r="H20" s="7"/>
      <c r="I20" s="7"/>
      <c r="J20" s="7"/>
    </row>
    <row r="21" customFormat="false" ht="21.75" hidden="false" customHeight="true" outlineLevel="0" collapsed="false">
      <c r="A21" s="7"/>
      <c r="B21" s="7"/>
      <c r="C21" s="7"/>
      <c r="D21" s="7"/>
      <c r="E21" s="7"/>
      <c r="F21" s="7"/>
      <c r="G21" s="7"/>
      <c r="H21" s="7"/>
      <c r="I21" s="7"/>
      <c r="J21" s="7"/>
    </row>
    <row r="22" customFormat="false" ht="21.75" hidden="false" customHeight="true" outlineLevel="0" collapsed="false">
      <c r="A22" s="7"/>
      <c r="B22" s="7"/>
      <c r="C22" s="7"/>
      <c r="D22" s="7"/>
      <c r="E22" s="7"/>
      <c r="F22" s="7"/>
      <c r="G22" s="7"/>
      <c r="H22" s="7"/>
      <c r="I22" s="7"/>
      <c r="J22" s="7"/>
    </row>
    <row r="23" customFormat="false" ht="21.75" hidden="false" customHeight="true" outlineLevel="0" collapsed="false">
      <c r="A23" s="13" t="s">
        <v>21</v>
      </c>
      <c r="B23" s="13"/>
      <c r="C23" s="13"/>
      <c r="D23" s="13"/>
      <c r="E23" s="13"/>
      <c r="F23" s="7"/>
      <c r="G23" s="7"/>
      <c r="H23" s="7"/>
      <c r="I23" s="7"/>
      <c r="J23" s="7"/>
    </row>
    <row r="24" customFormat="false" ht="21.75" hidden="false" customHeight="true" outlineLevel="0" collapsed="false">
      <c r="A24" s="14" t="s">
        <v>22</v>
      </c>
      <c r="B24" s="14" t="s">
        <v>23</v>
      </c>
      <c r="C24" s="14" t="s">
        <v>24</v>
      </c>
      <c r="D24" s="14" t="s">
        <v>25</v>
      </c>
      <c r="E24" s="14" t="s">
        <v>26</v>
      </c>
      <c r="F24" s="7"/>
      <c r="G24" s="7"/>
      <c r="H24" s="7"/>
      <c r="I24" s="7"/>
      <c r="J24" s="7"/>
    </row>
    <row r="25" customFormat="false" ht="39" hidden="false" customHeight="true" outlineLevel="0" collapsed="false">
      <c r="A25" s="15" t="s">
        <v>27</v>
      </c>
      <c r="B25" s="15" t="s">
        <v>28</v>
      </c>
      <c r="C25" s="15" t="s">
        <v>29</v>
      </c>
      <c r="D25" s="15" t="s">
        <v>30</v>
      </c>
      <c r="E25" s="15" t="s">
        <v>13</v>
      </c>
      <c r="F25" s="7"/>
      <c r="G25" s="7"/>
      <c r="H25" s="7"/>
      <c r="I25" s="7"/>
      <c r="J25" s="7"/>
    </row>
    <row r="26" customFormat="false" ht="39" hidden="false" customHeight="true" outlineLevel="0" collapsed="false">
      <c r="A26" s="16" t="s">
        <v>27</v>
      </c>
      <c r="B26" s="16" t="s">
        <v>31</v>
      </c>
      <c r="C26" s="16" t="s">
        <v>32</v>
      </c>
      <c r="D26" s="16" t="s">
        <v>33</v>
      </c>
      <c r="E26" s="16" t="s">
        <v>13</v>
      </c>
      <c r="F26" s="7"/>
      <c r="G26" s="7"/>
      <c r="H26" s="7"/>
      <c r="I26" s="7"/>
      <c r="J26" s="7"/>
    </row>
    <row r="27" customFormat="false" ht="39" hidden="false" customHeight="true" outlineLevel="0" collapsed="false">
      <c r="A27" s="15" t="s">
        <v>34</v>
      </c>
      <c r="B27" s="15" t="s">
        <v>28</v>
      </c>
      <c r="C27" s="15" t="s">
        <v>35</v>
      </c>
      <c r="D27" s="15" t="s">
        <v>36</v>
      </c>
      <c r="E27" s="15" t="s">
        <v>37</v>
      </c>
      <c r="F27" s="7"/>
      <c r="G27" s="7"/>
      <c r="H27" s="7"/>
      <c r="I27" s="7"/>
      <c r="J27" s="7"/>
    </row>
    <row r="28" customFormat="false" ht="39" hidden="false" customHeight="true" outlineLevel="0" collapsed="false">
      <c r="A28" s="16" t="s">
        <v>34</v>
      </c>
      <c r="B28" s="16" t="s">
        <v>31</v>
      </c>
      <c r="C28" s="16" t="s">
        <v>38</v>
      </c>
      <c r="D28" s="16" t="s">
        <v>39</v>
      </c>
      <c r="E28" s="16" t="s">
        <v>37</v>
      </c>
      <c r="F28" s="7"/>
      <c r="G28" s="7"/>
      <c r="H28" s="7"/>
      <c r="I28" s="7"/>
      <c r="J28" s="7"/>
    </row>
    <row r="29" customFormat="false" ht="39" hidden="false" customHeight="true" outlineLevel="0" collapsed="false">
      <c r="A29" s="15" t="s">
        <v>40</v>
      </c>
      <c r="B29" s="15" t="s">
        <v>28</v>
      </c>
      <c r="C29" s="15" t="s">
        <v>41</v>
      </c>
      <c r="D29" s="15" t="s">
        <v>42</v>
      </c>
      <c r="E29" s="15" t="s">
        <v>43</v>
      </c>
      <c r="F29" s="7"/>
      <c r="G29" s="7"/>
      <c r="H29" s="7"/>
      <c r="I29" s="7"/>
      <c r="J29" s="7"/>
    </row>
    <row r="30" customFormat="false" ht="39" hidden="false" customHeight="true" outlineLevel="0" collapsed="false">
      <c r="A30" s="16" t="s">
        <v>44</v>
      </c>
      <c r="B30" s="16" t="s">
        <v>28</v>
      </c>
      <c r="C30" s="16" t="s">
        <v>45</v>
      </c>
      <c r="D30" s="16" t="s">
        <v>46</v>
      </c>
      <c r="E30" s="16" t="s">
        <v>43</v>
      </c>
      <c r="F30" s="7"/>
      <c r="G30" s="7"/>
      <c r="H30" s="7"/>
      <c r="I30" s="7"/>
      <c r="J30" s="7"/>
    </row>
    <row r="31" customFormat="false" ht="39" hidden="false" customHeight="true" outlineLevel="0" collapsed="false">
      <c r="A31" s="15" t="s">
        <v>40</v>
      </c>
      <c r="B31" s="15" t="s">
        <v>31</v>
      </c>
      <c r="C31" s="15" t="s">
        <v>47</v>
      </c>
      <c r="D31" s="15" t="s">
        <v>48</v>
      </c>
      <c r="E31" s="15" t="s">
        <v>37</v>
      </c>
      <c r="F31" s="7"/>
      <c r="G31" s="7"/>
      <c r="H31" s="7"/>
      <c r="I31" s="7"/>
      <c r="J31" s="7"/>
    </row>
    <row r="32" customFormat="false" ht="39" hidden="false" customHeight="true" outlineLevel="0" collapsed="false">
      <c r="A32" s="16" t="s">
        <v>44</v>
      </c>
      <c r="B32" s="16" t="s">
        <v>31</v>
      </c>
      <c r="C32" s="16" t="s">
        <v>49</v>
      </c>
      <c r="D32" s="16" t="s">
        <v>50</v>
      </c>
      <c r="E32" s="16" t="s">
        <v>43</v>
      </c>
      <c r="F32" s="7"/>
      <c r="G32" s="7"/>
      <c r="H32" s="7"/>
      <c r="I32" s="7"/>
      <c r="J32" s="7"/>
    </row>
    <row r="33" customFormat="false" ht="21.75" hidden="false" customHeight="true" outlineLevel="0" collapsed="false">
      <c r="A33" s="7"/>
      <c r="B33" s="7"/>
      <c r="C33" s="7"/>
      <c r="D33" s="7"/>
      <c r="E33" s="7"/>
      <c r="F33" s="7"/>
      <c r="G33" s="7"/>
      <c r="H33" s="7"/>
      <c r="I33" s="7"/>
      <c r="J33" s="7"/>
    </row>
    <row r="34" customFormat="false" ht="21.75" hidden="false" customHeight="true" outlineLevel="0" collapsed="false">
      <c r="A34" s="7"/>
      <c r="B34" s="7"/>
      <c r="C34" s="7"/>
      <c r="D34" s="7"/>
      <c r="E34" s="7"/>
      <c r="F34" s="7"/>
      <c r="G34" s="7"/>
      <c r="H34" s="7"/>
      <c r="I34" s="7"/>
      <c r="J34" s="7"/>
    </row>
    <row r="35" customFormat="false" ht="21.75" hidden="false" customHeight="true" outlineLevel="0" collapsed="false">
      <c r="A35" s="7"/>
      <c r="B35" s="7"/>
      <c r="C35" s="7"/>
      <c r="D35" s="7"/>
      <c r="E35" s="7"/>
      <c r="F35" s="7"/>
      <c r="G35" s="7"/>
      <c r="H35" s="7"/>
      <c r="I35" s="7"/>
      <c r="J35" s="7"/>
    </row>
    <row r="36" customFormat="false" ht="21.75" hidden="false" customHeight="true" outlineLevel="0" collapsed="false">
      <c r="A36" s="17" t="s">
        <v>51</v>
      </c>
      <c r="B36" s="17"/>
      <c r="C36" s="17"/>
      <c r="D36" s="17"/>
      <c r="E36" s="17"/>
      <c r="F36" s="17"/>
      <c r="G36" s="17"/>
      <c r="H36" s="17"/>
      <c r="I36" s="17"/>
      <c r="J36" s="17"/>
    </row>
    <row r="37" customFormat="false" ht="21.75" hidden="false" customHeight="true" outlineLevel="0" collapsed="false"/>
    <row r="38" customFormat="false" ht="21.75" hidden="false" customHeight="true" outlineLevel="0" collapsed="false"/>
    <row r="39" customFormat="false" ht="21.75" hidden="false" customHeight="true" outlineLevel="0" collapsed="false"/>
    <row r="40" customFormat="false" ht="21.75" hidden="false" customHeight="true" outlineLevel="0" collapsed="false"/>
    <row r="41" customFormat="false" ht="21.75" hidden="false" customHeight="true" outlineLevel="0" collapsed="false"/>
    <row r="42" customFormat="false" ht="21.75" hidden="false" customHeight="true" outlineLevel="0" collapsed="false"/>
    <row r="43" customFormat="false" ht="21.75" hidden="false" customHeight="true" outlineLevel="0" collapsed="false"/>
    <row r="44" customFormat="false" ht="21.75" hidden="false" customHeight="true" outlineLevel="0" collapsed="false"/>
    <row r="45" customFormat="false" ht="21.75" hidden="false" customHeight="true" outlineLevel="0" collapsed="false"/>
    <row r="46" customFormat="false" ht="21.75" hidden="false" customHeight="true" outlineLevel="0" collapsed="false"/>
    <row r="47" customFormat="false" ht="21.75" hidden="false" customHeight="true" outlineLevel="0" collapsed="false"/>
    <row r="48" customFormat="false" ht="21.75" hidden="false" customHeight="true" outlineLevel="0" collapsed="false"/>
    <row r="49" customFormat="false" ht="21.75" hidden="false" customHeight="true" outlineLevel="0" collapsed="false"/>
    <row r="50" customFormat="false" ht="21.75" hidden="false" customHeight="true" outlineLevel="0" collapsed="false"/>
    <row r="51" customFormat="false" ht="21.75" hidden="false" customHeight="true" outlineLevel="0" collapsed="false"/>
    <row r="52" customFormat="false" ht="21.75" hidden="false" customHeight="true" outlineLevel="0" collapsed="false"/>
    <row r="53" customFormat="false" ht="21.75" hidden="false" customHeight="true" outlineLevel="0" collapsed="false"/>
    <row r="54" customFormat="false" ht="21.75" hidden="false" customHeight="true" outlineLevel="0" collapsed="false"/>
    <row r="55" customFormat="false" ht="21.75" hidden="false" customHeight="true" outlineLevel="0" collapsed="false"/>
    <row r="56" customFormat="false" ht="21.75" hidden="false" customHeight="true" outlineLevel="0" collapsed="false"/>
    <row r="57" customFormat="false" ht="21.75" hidden="false" customHeight="true" outlineLevel="0" collapsed="false"/>
    <row r="58" customFormat="false" ht="21.75" hidden="false" customHeight="true" outlineLevel="0" collapsed="false"/>
    <row r="59" customFormat="false" ht="21.75" hidden="false" customHeight="true" outlineLevel="0" collapsed="false"/>
    <row r="60" customFormat="false" ht="21.75" hidden="false" customHeight="true" outlineLevel="0" collapsed="false"/>
    <row r="61" customFormat="false" ht="21.75" hidden="false" customHeight="true" outlineLevel="0" collapsed="false"/>
    <row r="62" customFormat="false" ht="21.75" hidden="false" customHeight="true" outlineLevel="0" collapsed="false"/>
    <row r="63" customFormat="false" ht="21.75" hidden="false" customHeight="true" outlineLevel="0" collapsed="false"/>
    <row r="64" customFormat="false" ht="21.75" hidden="false" customHeight="true" outlineLevel="0" collapsed="false"/>
    <row r="65" customFormat="false" ht="21.75" hidden="false" customHeight="true" outlineLevel="0" collapsed="false"/>
    <row r="66" customFormat="false" ht="21.75" hidden="false" customHeight="true" outlineLevel="0" collapsed="false"/>
    <row r="67" customFormat="false" ht="21.75" hidden="false" customHeight="true" outlineLevel="0" collapsed="false"/>
    <row r="68" customFormat="false" ht="21.75" hidden="false" customHeight="true" outlineLevel="0" collapsed="false"/>
    <row r="69" customFormat="false" ht="21.75" hidden="false" customHeight="true" outlineLevel="0" collapsed="false"/>
    <row r="70" customFormat="false" ht="21.75" hidden="false" customHeight="true" outlineLevel="0" collapsed="false"/>
    <row r="71" customFormat="false" ht="21.75" hidden="false" customHeight="true" outlineLevel="0" collapsed="false"/>
    <row r="72" customFormat="false" ht="21.75" hidden="false" customHeight="true" outlineLevel="0" collapsed="false"/>
    <row r="73" customFormat="false" ht="21.75" hidden="false" customHeight="true" outlineLevel="0" collapsed="false"/>
    <row r="74" customFormat="false" ht="21.75" hidden="false" customHeight="true" outlineLevel="0" collapsed="false"/>
    <row r="75" customFormat="false" ht="21.75" hidden="false" customHeight="true" outlineLevel="0" collapsed="false"/>
    <row r="76" customFormat="false" ht="21.75" hidden="false" customHeight="true" outlineLevel="0" collapsed="false"/>
    <row r="77" customFormat="false" ht="21.75" hidden="false" customHeight="true" outlineLevel="0" collapsed="false"/>
    <row r="78" customFormat="false" ht="21.75" hidden="false" customHeight="true" outlineLevel="0" collapsed="false"/>
    <row r="79" customFormat="false" ht="21.75" hidden="false" customHeight="true" outlineLevel="0" collapsed="false"/>
    <row r="80" customFormat="false" ht="21.75" hidden="false" customHeight="true" outlineLevel="0" collapsed="false"/>
    <row r="81" customFormat="false" ht="21.75" hidden="false" customHeight="true" outlineLevel="0" collapsed="false"/>
    <row r="82" customFormat="false" ht="21.75" hidden="false" customHeight="true" outlineLevel="0" collapsed="false"/>
    <row r="83" customFormat="false" ht="21.75" hidden="false" customHeight="true" outlineLevel="0" collapsed="false"/>
    <row r="84" customFormat="false" ht="21.75" hidden="false" customHeight="true" outlineLevel="0" collapsed="false"/>
    <row r="85" customFormat="false" ht="21.75" hidden="false" customHeight="true" outlineLevel="0" collapsed="false"/>
    <row r="86" customFormat="false" ht="21.75" hidden="false" customHeight="true" outlineLevel="0" collapsed="false"/>
    <row r="87" customFormat="false" ht="21.75" hidden="false" customHeight="true" outlineLevel="0" collapsed="false"/>
    <row r="88" customFormat="false" ht="21.75" hidden="false" customHeight="true" outlineLevel="0" collapsed="false"/>
    <row r="89" customFormat="false" ht="21.75" hidden="false" customHeight="true" outlineLevel="0" collapsed="false"/>
    <row r="90" customFormat="false" ht="21.75" hidden="false" customHeight="true" outlineLevel="0" collapsed="false"/>
    <row r="91" customFormat="false" ht="21.75" hidden="false" customHeight="true" outlineLevel="0" collapsed="false"/>
    <row r="92" customFormat="false" ht="21.75" hidden="false" customHeight="true" outlineLevel="0" collapsed="false"/>
    <row r="93" customFormat="false" ht="21.75" hidden="false" customHeight="true" outlineLevel="0" collapsed="false"/>
    <row r="94" customFormat="false" ht="21.75" hidden="false" customHeight="true" outlineLevel="0" collapsed="false"/>
    <row r="95" customFormat="false" ht="21.75" hidden="false" customHeight="true" outlineLevel="0" collapsed="false"/>
    <row r="96" customFormat="false" ht="21.75" hidden="false" customHeight="true" outlineLevel="0" collapsed="false"/>
    <row r="97" customFormat="false" ht="21.75" hidden="false" customHeight="true" outlineLevel="0" collapsed="false"/>
    <row r="98" customFormat="false" ht="21.75" hidden="false" customHeight="true" outlineLevel="0" collapsed="false"/>
    <row r="99" customFormat="false" ht="21.75" hidden="false" customHeight="true" outlineLevel="0" collapsed="false"/>
    <row r="100" customFormat="false" ht="21.75" hidden="false" customHeight="true" outlineLevel="0" collapsed="false"/>
    <row r="101" customFormat="false" ht="21.75" hidden="false" customHeight="true" outlineLevel="0" collapsed="false"/>
    <row r="102" customFormat="false" ht="21.75" hidden="false" customHeight="true" outlineLevel="0" collapsed="false"/>
    <row r="103" customFormat="false" ht="21.75" hidden="false" customHeight="true" outlineLevel="0" collapsed="false"/>
    <row r="104" customFormat="false" ht="21.75" hidden="false" customHeight="true" outlineLevel="0" collapsed="false"/>
    <row r="105" customFormat="false" ht="21.75" hidden="false" customHeight="true" outlineLevel="0" collapsed="false"/>
    <row r="106" customFormat="false" ht="21.75" hidden="false" customHeight="true" outlineLevel="0" collapsed="false"/>
    <row r="107" customFormat="false" ht="21.75" hidden="false" customHeight="true" outlineLevel="0" collapsed="false"/>
    <row r="108" customFormat="false" ht="21.75" hidden="false" customHeight="true" outlineLevel="0" collapsed="false"/>
    <row r="109" customFormat="false" ht="21.75" hidden="false" customHeight="true" outlineLevel="0" collapsed="false"/>
    <row r="110" customFormat="false" ht="21.75" hidden="false" customHeight="true" outlineLevel="0" collapsed="false"/>
    <row r="111" customFormat="false" ht="21.75" hidden="false" customHeight="true" outlineLevel="0" collapsed="false"/>
    <row r="112" customFormat="false" ht="21.75" hidden="false" customHeight="true" outlineLevel="0" collapsed="false"/>
    <row r="113" customFormat="false" ht="21.75" hidden="false" customHeight="true" outlineLevel="0" collapsed="false"/>
    <row r="114" customFormat="false" ht="21.75" hidden="false" customHeight="true" outlineLevel="0" collapsed="false"/>
    <row r="115" customFormat="false" ht="21.75" hidden="false" customHeight="true" outlineLevel="0" collapsed="false"/>
    <row r="116" customFormat="false" ht="21.75" hidden="false" customHeight="true" outlineLevel="0" collapsed="false"/>
    <row r="117" customFormat="false" ht="21.75" hidden="false" customHeight="true" outlineLevel="0" collapsed="false"/>
    <row r="118" customFormat="false" ht="21.75" hidden="false" customHeight="true" outlineLevel="0" collapsed="false"/>
    <row r="119" customFormat="false" ht="21.75" hidden="false" customHeight="true" outlineLevel="0" collapsed="false"/>
  </sheetData>
  <mergeCells count="20">
    <mergeCell ref="A1:J1"/>
    <mergeCell ref="A2:J2"/>
    <mergeCell ref="A4:B4"/>
    <mergeCell ref="C4:D4"/>
    <mergeCell ref="E4:F4"/>
    <mergeCell ref="G4:H4"/>
    <mergeCell ref="I4:J4"/>
    <mergeCell ref="A5:B6"/>
    <mergeCell ref="C5:D6"/>
    <mergeCell ref="E5:F6"/>
    <mergeCell ref="G5:H6"/>
    <mergeCell ref="I5:J6"/>
    <mergeCell ref="A7:B8"/>
    <mergeCell ref="C7:D8"/>
    <mergeCell ref="E7:F8"/>
    <mergeCell ref="G7:H8"/>
    <mergeCell ref="I7:J8"/>
    <mergeCell ref="I10:J10"/>
    <mergeCell ref="A23:E23"/>
    <mergeCell ref="A36:J36"/>
  </mergeCells>
  <conditionalFormatting sqref="E25:E32">
    <cfRule type="expression" priority="2" aboveAverage="0" equalAverage="0" bottom="0" percent="0" rank="0" text="" dxfId="0">
      <formula>ISNUMBER(SEARCH("Protect",E25))</formula>
    </cfRule>
    <cfRule type="expression" priority="3" aboveAverage="0" equalAverage="0" bottom="0" percent="0" rank="0" text="" dxfId="1">
      <formula>ISNUMBER(SEARCH("Optimize",E25))</formula>
    </cfRule>
    <cfRule type="expression" priority="4" aboveAverage="0" equalAverage="0" bottom="0" percent="0" rank="0" text="" dxfId="2">
      <formula>ISNUMBER(SEARCH("Fix page",E25))</formula>
    </cfRule>
  </conditionalFormatting>
  <printOptions headings="false" gridLines="false" gridLinesSet="true" horizontalCentered="false" verticalCentered="false"/>
  <pageMargins left="0.2" right="0.2" top="0.25" bottom="0.2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53125" defaultRowHeight="21.75" customHeight="false" zeroHeight="false" outlineLevelRow="0" outlineLevelCol="0"/>
  <cols>
    <col collapsed="false" customWidth="true" hidden="false" outlineLevel="0" max="16" min="1" style="0" width="16"/>
  </cols>
  <sheetData>
    <row r="1" customFormat="false" ht="21.75" hidden="false" customHeight="true" outlineLevel="0" collapsed="false">
      <c r="A1" s="14" t="s">
        <v>52</v>
      </c>
      <c r="B1" s="14" t="s">
        <v>53</v>
      </c>
      <c r="C1" s="14" t="s">
        <v>54</v>
      </c>
      <c r="D1" s="14" t="s">
        <v>55</v>
      </c>
      <c r="E1" s="14" t="s">
        <v>56</v>
      </c>
      <c r="F1" s="14" t="s">
        <v>57</v>
      </c>
      <c r="G1" s="14" t="s">
        <v>58</v>
      </c>
      <c r="H1" s="14" t="s">
        <v>59</v>
      </c>
      <c r="I1" s="14" t="s">
        <v>60</v>
      </c>
      <c r="J1" s="14" t="s">
        <v>61</v>
      </c>
      <c r="K1" s="14" t="s">
        <v>62</v>
      </c>
      <c r="L1" s="14" t="s">
        <v>63</v>
      </c>
      <c r="M1" s="14" t="s">
        <v>64</v>
      </c>
      <c r="N1" s="14" t="s">
        <v>65</v>
      </c>
      <c r="O1" s="14" t="s">
        <v>66</v>
      </c>
      <c r="P1" s="14" t="s">
        <v>67</v>
      </c>
    </row>
    <row r="2" customFormat="false" ht="21.75" hidden="false" customHeight="true" outlineLevel="0" collapsed="false">
      <c r="A2" s="16" t="s">
        <v>68</v>
      </c>
      <c r="B2" s="16" t="s">
        <v>69</v>
      </c>
      <c r="C2" s="16" t="s">
        <v>70</v>
      </c>
      <c r="D2" s="16" t="s">
        <v>71</v>
      </c>
      <c r="E2" s="16" t="s">
        <v>28</v>
      </c>
      <c r="F2" s="16" t="s">
        <v>34</v>
      </c>
      <c r="G2" s="18" t="n">
        <v>19980</v>
      </c>
      <c r="H2" s="18" t="n">
        <v>888</v>
      </c>
      <c r="I2" s="19" t="n">
        <v>1215.4</v>
      </c>
      <c r="J2" s="18" t="n">
        <v>76</v>
      </c>
      <c r="K2" s="19" t="n">
        <v>6726.6</v>
      </c>
      <c r="L2" s="20" t="n">
        <v>0.0444</v>
      </c>
      <c r="M2" s="19" t="n">
        <v>1.37</v>
      </c>
      <c r="N2" s="20" t="n">
        <v>0.0856</v>
      </c>
      <c r="O2" s="19" t="n">
        <v>15.99</v>
      </c>
      <c r="P2" s="20" t="n">
        <v>5.53</v>
      </c>
    </row>
    <row r="3" customFormat="false" ht="21.75" hidden="false" customHeight="true" outlineLevel="0" collapsed="false">
      <c r="A3" s="15" t="s">
        <v>68</v>
      </c>
      <c r="B3" s="15" t="s">
        <v>69</v>
      </c>
      <c r="C3" s="15" t="s">
        <v>70</v>
      </c>
      <c r="D3" s="15" t="s">
        <v>71</v>
      </c>
      <c r="E3" s="15" t="s">
        <v>31</v>
      </c>
      <c r="F3" s="15" t="s">
        <v>34</v>
      </c>
      <c r="G3" s="21" t="n">
        <v>17020</v>
      </c>
      <c r="H3" s="21" t="n">
        <v>962</v>
      </c>
      <c r="I3" s="22" t="n">
        <v>1144.6</v>
      </c>
      <c r="J3" s="21" t="n">
        <v>72</v>
      </c>
      <c r="K3" s="22" t="n">
        <v>6593.4</v>
      </c>
      <c r="L3" s="23" t="n">
        <v>0.0565</v>
      </c>
      <c r="M3" s="22" t="n">
        <v>1.19</v>
      </c>
      <c r="N3" s="23" t="n">
        <v>0.0748</v>
      </c>
      <c r="O3" s="22" t="n">
        <v>15.9</v>
      </c>
      <c r="P3" s="23" t="n">
        <v>5.76</v>
      </c>
    </row>
    <row r="4" customFormat="false" ht="21.75" hidden="false" customHeight="true" outlineLevel="0" collapsed="false">
      <c r="A4" s="16" t="s">
        <v>68</v>
      </c>
      <c r="B4" s="16" t="s">
        <v>72</v>
      </c>
      <c r="C4" s="16" t="s">
        <v>73</v>
      </c>
      <c r="D4" s="16" t="s">
        <v>74</v>
      </c>
      <c r="E4" s="16" t="s">
        <v>28</v>
      </c>
      <c r="F4" s="16" t="s">
        <v>40</v>
      </c>
      <c r="G4" s="18" t="n">
        <v>28080</v>
      </c>
      <c r="H4" s="18" t="n">
        <v>749</v>
      </c>
      <c r="I4" s="19" t="n">
        <v>947.6</v>
      </c>
      <c r="J4" s="18" t="n">
        <v>40</v>
      </c>
      <c r="K4" s="19" t="n">
        <v>3151.2</v>
      </c>
      <c r="L4" s="20" t="n">
        <v>0.0267</v>
      </c>
      <c r="M4" s="19" t="n">
        <v>1.27</v>
      </c>
      <c r="N4" s="20" t="n">
        <v>0.0534</v>
      </c>
      <c r="O4" s="19" t="n">
        <v>23.69</v>
      </c>
      <c r="P4" s="20" t="n">
        <v>3.33</v>
      </c>
    </row>
    <row r="5" customFormat="false" ht="21.75" hidden="false" customHeight="true" outlineLevel="0" collapsed="false">
      <c r="A5" s="15" t="s">
        <v>68</v>
      </c>
      <c r="B5" s="15" t="s">
        <v>72</v>
      </c>
      <c r="C5" s="15" t="s">
        <v>73</v>
      </c>
      <c r="D5" s="15" t="s">
        <v>74</v>
      </c>
      <c r="E5" s="15" t="s">
        <v>31</v>
      </c>
      <c r="F5" s="15" t="s">
        <v>40</v>
      </c>
      <c r="G5" s="21" t="n">
        <v>23920</v>
      </c>
      <c r="H5" s="21" t="n">
        <v>811</v>
      </c>
      <c r="I5" s="22" t="n">
        <v>892.4</v>
      </c>
      <c r="J5" s="21" t="n">
        <v>38</v>
      </c>
      <c r="K5" s="22" t="n">
        <v>3088.8</v>
      </c>
      <c r="L5" s="23" t="n">
        <v>0.0339</v>
      </c>
      <c r="M5" s="22" t="n">
        <v>1.1</v>
      </c>
      <c r="N5" s="23" t="n">
        <v>0.0469</v>
      </c>
      <c r="O5" s="22" t="n">
        <v>23.48</v>
      </c>
      <c r="P5" s="23" t="n">
        <v>3.46</v>
      </c>
    </row>
    <row r="6" customFormat="false" ht="21.75" hidden="false" customHeight="true" outlineLevel="0" collapsed="false">
      <c r="A6" s="16" t="s">
        <v>68</v>
      </c>
      <c r="B6" s="16" t="s">
        <v>75</v>
      </c>
      <c r="C6" s="16" t="s">
        <v>76</v>
      </c>
      <c r="D6" s="16" t="s">
        <v>77</v>
      </c>
      <c r="E6" s="16" t="s">
        <v>28</v>
      </c>
      <c r="F6" s="16" t="s">
        <v>27</v>
      </c>
      <c r="G6" s="18" t="n">
        <v>9936</v>
      </c>
      <c r="H6" s="18" t="n">
        <v>530</v>
      </c>
      <c r="I6" s="19" t="n">
        <v>185.4</v>
      </c>
      <c r="J6" s="18" t="n">
        <v>60</v>
      </c>
      <c r="K6" s="19" t="n">
        <v>4979.3</v>
      </c>
      <c r="L6" s="20" t="n">
        <v>0.0533</v>
      </c>
      <c r="M6" s="19" t="n">
        <v>0.35</v>
      </c>
      <c r="N6" s="20" t="n">
        <v>0.1132</v>
      </c>
      <c r="O6" s="19" t="n">
        <v>3.09</v>
      </c>
      <c r="P6" s="20" t="n">
        <v>26.86</v>
      </c>
    </row>
    <row r="7" customFormat="false" ht="21.75" hidden="false" customHeight="true" outlineLevel="0" collapsed="false">
      <c r="A7" s="15" t="s">
        <v>68</v>
      </c>
      <c r="B7" s="15" t="s">
        <v>75</v>
      </c>
      <c r="C7" s="15" t="s">
        <v>76</v>
      </c>
      <c r="D7" s="15" t="s">
        <v>77</v>
      </c>
      <c r="E7" s="15" t="s">
        <v>31</v>
      </c>
      <c r="F7" s="15" t="s">
        <v>27</v>
      </c>
      <c r="G7" s="21" t="n">
        <v>8464</v>
      </c>
      <c r="H7" s="21" t="n">
        <v>574</v>
      </c>
      <c r="I7" s="22" t="n">
        <v>174.6</v>
      </c>
      <c r="J7" s="21" t="n">
        <v>56</v>
      </c>
      <c r="K7" s="22" t="n">
        <v>4880.7</v>
      </c>
      <c r="L7" s="23" t="n">
        <v>0.0678</v>
      </c>
      <c r="M7" s="22" t="n">
        <v>0.3</v>
      </c>
      <c r="N7" s="23" t="n">
        <v>0.0976</v>
      </c>
      <c r="O7" s="22" t="n">
        <v>3.12</v>
      </c>
      <c r="P7" s="23" t="n">
        <v>27.95</v>
      </c>
    </row>
    <row r="8" customFormat="false" ht="21.75" hidden="false" customHeight="true" outlineLevel="0" collapsed="false">
      <c r="A8" s="16" t="s">
        <v>68</v>
      </c>
      <c r="B8" s="16" t="s">
        <v>78</v>
      </c>
      <c r="C8" s="16" t="s">
        <v>79</v>
      </c>
      <c r="D8" s="16" t="s">
        <v>80</v>
      </c>
      <c r="E8" s="16" t="s">
        <v>28</v>
      </c>
      <c r="F8" s="16" t="s">
        <v>44</v>
      </c>
      <c r="G8" s="18" t="n">
        <v>33480</v>
      </c>
      <c r="H8" s="18" t="n">
        <v>446</v>
      </c>
      <c r="I8" s="19" t="n">
        <v>628.3</v>
      </c>
      <c r="J8" s="18" t="n">
        <v>23</v>
      </c>
      <c r="K8" s="19" t="n">
        <v>1555.4</v>
      </c>
      <c r="L8" s="20" t="n">
        <v>0.0133</v>
      </c>
      <c r="M8" s="19" t="n">
        <v>1.41</v>
      </c>
      <c r="N8" s="20" t="n">
        <v>0.0516</v>
      </c>
      <c r="O8" s="19" t="n">
        <v>27.32</v>
      </c>
      <c r="P8" s="20" t="n">
        <v>2.48</v>
      </c>
    </row>
    <row r="9" customFormat="false" ht="21.75" hidden="false" customHeight="true" outlineLevel="0" collapsed="false">
      <c r="A9" s="15" t="s">
        <v>68</v>
      </c>
      <c r="B9" s="15" t="s">
        <v>78</v>
      </c>
      <c r="C9" s="15" t="s">
        <v>79</v>
      </c>
      <c r="D9" s="15" t="s">
        <v>80</v>
      </c>
      <c r="E9" s="15" t="s">
        <v>31</v>
      </c>
      <c r="F9" s="15" t="s">
        <v>44</v>
      </c>
      <c r="G9" s="21" t="n">
        <v>28520</v>
      </c>
      <c r="H9" s="21" t="n">
        <v>484</v>
      </c>
      <c r="I9" s="22" t="n">
        <v>591.7</v>
      </c>
      <c r="J9" s="21" t="n">
        <v>21</v>
      </c>
      <c r="K9" s="22" t="n">
        <v>1524.6</v>
      </c>
      <c r="L9" s="23" t="n">
        <v>0.017</v>
      </c>
      <c r="M9" s="22" t="n">
        <v>1.22</v>
      </c>
      <c r="N9" s="23" t="n">
        <v>0.0434</v>
      </c>
      <c r="O9" s="22" t="n">
        <v>28.18</v>
      </c>
      <c r="P9" s="23" t="n">
        <v>2.58</v>
      </c>
    </row>
    <row r="10" customFormat="false" ht="21.75" hidden="false" customHeight="true" outlineLevel="0" collapsed="false">
      <c r="A10" s="16" t="s">
        <v>81</v>
      </c>
      <c r="B10" s="16" t="s">
        <v>69</v>
      </c>
      <c r="C10" s="16" t="s">
        <v>70</v>
      </c>
      <c r="D10" s="16" t="s">
        <v>71</v>
      </c>
      <c r="E10" s="16" t="s">
        <v>28</v>
      </c>
      <c r="F10" s="16" t="s">
        <v>34</v>
      </c>
      <c r="G10" s="18" t="n">
        <v>20679</v>
      </c>
      <c r="H10" s="18" t="n">
        <v>919</v>
      </c>
      <c r="I10" s="19" t="n">
        <v>1257.94</v>
      </c>
      <c r="J10" s="18" t="n">
        <v>79</v>
      </c>
      <c r="K10" s="19" t="n">
        <v>6962.03</v>
      </c>
      <c r="L10" s="20" t="n">
        <v>0.0444</v>
      </c>
      <c r="M10" s="19" t="n">
        <v>1.37</v>
      </c>
      <c r="N10" s="20" t="n">
        <v>0.086</v>
      </c>
      <c r="O10" s="19" t="n">
        <v>15.92</v>
      </c>
      <c r="P10" s="20" t="n">
        <v>5.53</v>
      </c>
    </row>
    <row r="11" customFormat="false" ht="21.75" hidden="false" customHeight="true" outlineLevel="0" collapsed="false">
      <c r="A11" s="15" t="s">
        <v>81</v>
      </c>
      <c r="B11" s="15" t="s">
        <v>69</v>
      </c>
      <c r="C11" s="15" t="s">
        <v>70</v>
      </c>
      <c r="D11" s="15" t="s">
        <v>71</v>
      </c>
      <c r="E11" s="15" t="s">
        <v>31</v>
      </c>
      <c r="F11" s="15" t="s">
        <v>34</v>
      </c>
      <c r="G11" s="21" t="n">
        <v>17616</v>
      </c>
      <c r="H11" s="21" t="n">
        <v>996</v>
      </c>
      <c r="I11" s="22" t="n">
        <v>1184.66</v>
      </c>
      <c r="J11" s="21" t="n">
        <v>74</v>
      </c>
      <c r="K11" s="22" t="n">
        <v>6824.17</v>
      </c>
      <c r="L11" s="23" t="n">
        <v>0.0565</v>
      </c>
      <c r="M11" s="22" t="n">
        <v>1.19</v>
      </c>
      <c r="N11" s="23" t="n">
        <v>0.0743</v>
      </c>
      <c r="O11" s="22" t="n">
        <v>16.01</v>
      </c>
      <c r="P11" s="23" t="n">
        <v>5.76</v>
      </c>
    </row>
    <row r="12" customFormat="false" ht="21.75" hidden="false" customHeight="true" outlineLevel="0" collapsed="false">
      <c r="A12" s="16" t="s">
        <v>81</v>
      </c>
      <c r="B12" s="16" t="s">
        <v>72</v>
      </c>
      <c r="C12" s="16" t="s">
        <v>73</v>
      </c>
      <c r="D12" s="16" t="s">
        <v>74</v>
      </c>
      <c r="E12" s="16" t="s">
        <v>28</v>
      </c>
      <c r="F12" s="16" t="s">
        <v>40</v>
      </c>
      <c r="G12" s="18" t="n">
        <v>29063</v>
      </c>
      <c r="H12" s="18" t="n">
        <v>775</v>
      </c>
      <c r="I12" s="19" t="n">
        <v>980.77</v>
      </c>
      <c r="J12" s="18" t="n">
        <v>42</v>
      </c>
      <c r="K12" s="19" t="n">
        <v>3261.49</v>
      </c>
      <c r="L12" s="20" t="n">
        <v>0.0267</v>
      </c>
      <c r="M12" s="19" t="n">
        <v>1.27</v>
      </c>
      <c r="N12" s="20" t="n">
        <v>0.0542</v>
      </c>
      <c r="O12" s="19" t="n">
        <v>23.35</v>
      </c>
      <c r="P12" s="20" t="n">
        <v>3.33</v>
      </c>
    </row>
    <row r="13" customFormat="false" ht="21.75" hidden="false" customHeight="true" outlineLevel="0" collapsed="false">
      <c r="A13" s="15" t="s">
        <v>81</v>
      </c>
      <c r="B13" s="15" t="s">
        <v>72</v>
      </c>
      <c r="C13" s="15" t="s">
        <v>73</v>
      </c>
      <c r="D13" s="15" t="s">
        <v>74</v>
      </c>
      <c r="E13" s="15" t="s">
        <v>31</v>
      </c>
      <c r="F13" s="15" t="s">
        <v>40</v>
      </c>
      <c r="G13" s="21" t="n">
        <v>24757</v>
      </c>
      <c r="H13" s="21" t="n">
        <v>840</v>
      </c>
      <c r="I13" s="22" t="n">
        <v>923.63</v>
      </c>
      <c r="J13" s="21" t="n">
        <v>39</v>
      </c>
      <c r="K13" s="22" t="n">
        <v>3196.91</v>
      </c>
      <c r="L13" s="23" t="n">
        <v>0.0339</v>
      </c>
      <c r="M13" s="22" t="n">
        <v>1.1</v>
      </c>
      <c r="N13" s="23" t="n">
        <v>0.0464</v>
      </c>
      <c r="O13" s="22" t="n">
        <v>23.68</v>
      </c>
      <c r="P13" s="23" t="n">
        <v>3.46</v>
      </c>
    </row>
    <row r="14" customFormat="false" ht="21.75" hidden="false" customHeight="true" outlineLevel="0" collapsed="false">
      <c r="A14" s="16" t="s">
        <v>81</v>
      </c>
      <c r="B14" s="16" t="s">
        <v>75</v>
      </c>
      <c r="C14" s="16" t="s">
        <v>76</v>
      </c>
      <c r="D14" s="16" t="s">
        <v>77</v>
      </c>
      <c r="E14" s="16" t="s">
        <v>28</v>
      </c>
      <c r="F14" s="16" t="s">
        <v>27</v>
      </c>
      <c r="G14" s="18" t="n">
        <v>10284</v>
      </c>
      <c r="H14" s="18" t="n">
        <v>548</v>
      </c>
      <c r="I14" s="19" t="n">
        <v>191.89</v>
      </c>
      <c r="J14" s="18" t="n">
        <v>62</v>
      </c>
      <c r="K14" s="19" t="n">
        <v>5153.58</v>
      </c>
      <c r="L14" s="20" t="n">
        <v>0.0533</v>
      </c>
      <c r="M14" s="19" t="n">
        <v>0.35</v>
      </c>
      <c r="N14" s="20" t="n">
        <v>0.1131</v>
      </c>
      <c r="O14" s="19" t="n">
        <v>3.09</v>
      </c>
      <c r="P14" s="20" t="n">
        <v>26.86</v>
      </c>
    </row>
    <row r="15" customFormat="false" ht="21.75" hidden="false" customHeight="true" outlineLevel="0" collapsed="false">
      <c r="A15" s="15" t="s">
        <v>81</v>
      </c>
      <c r="B15" s="15" t="s">
        <v>75</v>
      </c>
      <c r="C15" s="15" t="s">
        <v>76</v>
      </c>
      <c r="D15" s="15" t="s">
        <v>77</v>
      </c>
      <c r="E15" s="15" t="s">
        <v>31</v>
      </c>
      <c r="F15" s="15" t="s">
        <v>27</v>
      </c>
      <c r="G15" s="21" t="n">
        <v>8760</v>
      </c>
      <c r="H15" s="21" t="n">
        <v>594</v>
      </c>
      <c r="I15" s="22" t="n">
        <v>180.71</v>
      </c>
      <c r="J15" s="21" t="n">
        <v>58</v>
      </c>
      <c r="K15" s="22" t="n">
        <v>5051.52</v>
      </c>
      <c r="L15" s="23" t="n">
        <v>0.0678</v>
      </c>
      <c r="M15" s="22" t="n">
        <v>0.3</v>
      </c>
      <c r="N15" s="23" t="n">
        <v>0.0976</v>
      </c>
      <c r="O15" s="22" t="n">
        <v>3.12</v>
      </c>
      <c r="P15" s="23" t="n">
        <v>27.95</v>
      </c>
    </row>
    <row r="16" customFormat="false" ht="21.75" hidden="false" customHeight="true" outlineLevel="0" collapsed="false">
      <c r="A16" s="16" t="s">
        <v>81</v>
      </c>
      <c r="B16" s="16" t="s">
        <v>78</v>
      </c>
      <c r="C16" s="16" t="s">
        <v>79</v>
      </c>
      <c r="D16" s="16" t="s">
        <v>80</v>
      </c>
      <c r="E16" s="16" t="s">
        <v>28</v>
      </c>
      <c r="F16" s="16" t="s">
        <v>44</v>
      </c>
      <c r="G16" s="18" t="n">
        <v>34652</v>
      </c>
      <c r="H16" s="18" t="n">
        <v>462</v>
      </c>
      <c r="I16" s="19" t="n">
        <v>650.29</v>
      </c>
      <c r="J16" s="18" t="n">
        <v>23</v>
      </c>
      <c r="K16" s="19" t="n">
        <v>1609.84</v>
      </c>
      <c r="L16" s="20" t="n">
        <v>0.0133</v>
      </c>
      <c r="M16" s="19" t="n">
        <v>1.41</v>
      </c>
      <c r="N16" s="20" t="n">
        <v>0.0498</v>
      </c>
      <c r="O16" s="19" t="n">
        <v>28.27</v>
      </c>
      <c r="P16" s="20" t="n">
        <v>2.48</v>
      </c>
    </row>
    <row r="17" customFormat="false" ht="21.75" hidden="false" customHeight="true" outlineLevel="0" collapsed="false">
      <c r="A17" s="15" t="s">
        <v>81</v>
      </c>
      <c r="B17" s="15" t="s">
        <v>78</v>
      </c>
      <c r="C17" s="15" t="s">
        <v>79</v>
      </c>
      <c r="D17" s="15" t="s">
        <v>80</v>
      </c>
      <c r="E17" s="15" t="s">
        <v>31</v>
      </c>
      <c r="F17" s="15" t="s">
        <v>44</v>
      </c>
      <c r="G17" s="21" t="n">
        <v>29518</v>
      </c>
      <c r="H17" s="21" t="n">
        <v>501</v>
      </c>
      <c r="I17" s="22" t="n">
        <v>612.41</v>
      </c>
      <c r="J17" s="21" t="n">
        <v>22</v>
      </c>
      <c r="K17" s="22" t="n">
        <v>1577.96</v>
      </c>
      <c r="L17" s="23" t="n">
        <v>0.017</v>
      </c>
      <c r="M17" s="22" t="n">
        <v>1.22</v>
      </c>
      <c r="N17" s="23" t="n">
        <v>0.0439</v>
      </c>
      <c r="O17" s="22" t="n">
        <v>27.84</v>
      </c>
      <c r="P17" s="23" t="n">
        <v>2.58</v>
      </c>
    </row>
    <row r="18" customFormat="false" ht="21.75" hidden="false" customHeight="true" outlineLevel="0" collapsed="false">
      <c r="A18" s="16" t="s">
        <v>82</v>
      </c>
      <c r="B18" s="16" t="s">
        <v>69</v>
      </c>
      <c r="C18" s="16" t="s">
        <v>70</v>
      </c>
      <c r="D18" s="16" t="s">
        <v>71</v>
      </c>
      <c r="E18" s="16" t="s">
        <v>28</v>
      </c>
      <c r="F18" s="16" t="s">
        <v>34</v>
      </c>
      <c r="G18" s="18" t="n">
        <v>21379</v>
      </c>
      <c r="H18" s="18" t="n">
        <v>950</v>
      </c>
      <c r="I18" s="19" t="n">
        <v>1300.48</v>
      </c>
      <c r="J18" s="18" t="n">
        <v>82</v>
      </c>
      <c r="K18" s="19" t="n">
        <v>7197.46</v>
      </c>
      <c r="L18" s="20" t="n">
        <v>0.0444</v>
      </c>
      <c r="M18" s="19" t="n">
        <v>1.37</v>
      </c>
      <c r="N18" s="20" t="n">
        <v>0.0863</v>
      </c>
      <c r="O18" s="19" t="n">
        <v>15.86</v>
      </c>
      <c r="P18" s="20" t="n">
        <v>5.53</v>
      </c>
    </row>
    <row r="19" customFormat="false" ht="21.75" hidden="false" customHeight="true" outlineLevel="0" collapsed="false">
      <c r="A19" s="15" t="s">
        <v>82</v>
      </c>
      <c r="B19" s="15" t="s">
        <v>69</v>
      </c>
      <c r="C19" s="15" t="s">
        <v>70</v>
      </c>
      <c r="D19" s="15" t="s">
        <v>71</v>
      </c>
      <c r="E19" s="15" t="s">
        <v>31</v>
      </c>
      <c r="F19" s="15" t="s">
        <v>34</v>
      </c>
      <c r="G19" s="21" t="n">
        <v>18211</v>
      </c>
      <c r="H19" s="21" t="n">
        <v>1029</v>
      </c>
      <c r="I19" s="22" t="n">
        <v>1224.72</v>
      </c>
      <c r="J19" s="21" t="n">
        <v>77</v>
      </c>
      <c r="K19" s="22" t="n">
        <v>7054.94</v>
      </c>
      <c r="L19" s="23" t="n">
        <v>0.0565</v>
      </c>
      <c r="M19" s="22" t="n">
        <v>1.19</v>
      </c>
      <c r="N19" s="23" t="n">
        <v>0.0748</v>
      </c>
      <c r="O19" s="22" t="n">
        <v>15.91</v>
      </c>
      <c r="P19" s="23" t="n">
        <v>5.76</v>
      </c>
    </row>
    <row r="20" customFormat="false" ht="21.75" hidden="false" customHeight="true" outlineLevel="0" collapsed="false">
      <c r="A20" s="16" t="s">
        <v>82</v>
      </c>
      <c r="B20" s="16" t="s">
        <v>72</v>
      </c>
      <c r="C20" s="16" t="s">
        <v>73</v>
      </c>
      <c r="D20" s="16" t="s">
        <v>74</v>
      </c>
      <c r="E20" s="16" t="s">
        <v>28</v>
      </c>
      <c r="F20" s="16" t="s">
        <v>40</v>
      </c>
      <c r="G20" s="18" t="n">
        <v>30046</v>
      </c>
      <c r="H20" s="18" t="n">
        <v>801</v>
      </c>
      <c r="I20" s="19" t="n">
        <v>1013.93</v>
      </c>
      <c r="J20" s="18" t="n">
        <v>43</v>
      </c>
      <c r="K20" s="19" t="n">
        <v>3371.78</v>
      </c>
      <c r="L20" s="20" t="n">
        <v>0.0267</v>
      </c>
      <c r="M20" s="19" t="n">
        <v>1.27</v>
      </c>
      <c r="N20" s="20" t="n">
        <v>0.0537</v>
      </c>
      <c r="O20" s="19" t="n">
        <v>23.58</v>
      </c>
      <c r="P20" s="20" t="n">
        <v>3.33</v>
      </c>
    </row>
    <row r="21" customFormat="false" ht="21.75" hidden="false" customHeight="true" outlineLevel="0" collapsed="false">
      <c r="A21" s="15" t="s">
        <v>82</v>
      </c>
      <c r="B21" s="15" t="s">
        <v>72</v>
      </c>
      <c r="C21" s="15" t="s">
        <v>73</v>
      </c>
      <c r="D21" s="15" t="s">
        <v>74</v>
      </c>
      <c r="E21" s="15" t="s">
        <v>31</v>
      </c>
      <c r="F21" s="15" t="s">
        <v>40</v>
      </c>
      <c r="G21" s="21" t="n">
        <v>25594</v>
      </c>
      <c r="H21" s="21" t="n">
        <v>868</v>
      </c>
      <c r="I21" s="22" t="n">
        <v>954.87</v>
      </c>
      <c r="J21" s="21" t="n">
        <v>40</v>
      </c>
      <c r="K21" s="22" t="n">
        <v>3305.02</v>
      </c>
      <c r="L21" s="23" t="n">
        <v>0.0339</v>
      </c>
      <c r="M21" s="22" t="n">
        <v>1.1</v>
      </c>
      <c r="N21" s="23" t="n">
        <v>0.0461</v>
      </c>
      <c r="O21" s="22" t="n">
        <v>23.87</v>
      </c>
      <c r="P21" s="23" t="n">
        <v>3.46</v>
      </c>
    </row>
    <row r="22" customFormat="false" ht="21.75" hidden="false" customHeight="true" outlineLevel="0" collapsed="false">
      <c r="A22" s="16" t="s">
        <v>82</v>
      </c>
      <c r="B22" s="16" t="s">
        <v>75</v>
      </c>
      <c r="C22" s="16" t="s">
        <v>76</v>
      </c>
      <c r="D22" s="16" t="s">
        <v>77</v>
      </c>
      <c r="E22" s="16" t="s">
        <v>28</v>
      </c>
      <c r="F22" s="16" t="s">
        <v>27</v>
      </c>
      <c r="G22" s="18" t="n">
        <v>10632</v>
      </c>
      <c r="H22" s="18" t="n">
        <v>567</v>
      </c>
      <c r="I22" s="19" t="n">
        <v>198.38</v>
      </c>
      <c r="J22" s="18" t="n">
        <v>64</v>
      </c>
      <c r="K22" s="19" t="n">
        <v>5327.85</v>
      </c>
      <c r="L22" s="20" t="n">
        <v>0.0533</v>
      </c>
      <c r="M22" s="19" t="n">
        <v>0.35</v>
      </c>
      <c r="N22" s="20" t="n">
        <v>0.1129</v>
      </c>
      <c r="O22" s="19" t="n">
        <v>3.1</v>
      </c>
      <c r="P22" s="20" t="n">
        <v>26.86</v>
      </c>
    </row>
    <row r="23" customFormat="false" ht="21.75" hidden="false" customHeight="true" outlineLevel="0" collapsed="false">
      <c r="A23" s="15" t="s">
        <v>82</v>
      </c>
      <c r="B23" s="15" t="s">
        <v>75</v>
      </c>
      <c r="C23" s="15" t="s">
        <v>76</v>
      </c>
      <c r="D23" s="15" t="s">
        <v>77</v>
      </c>
      <c r="E23" s="15" t="s">
        <v>31</v>
      </c>
      <c r="F23" s="15" t="s">
        <v>27</v>
      </c>
      <c r="G23" s="21" t="n">
        <v>9056</v>
      </c>
      <c r="H23" s="21" t="n">
        <v>614</v>
      </c>
      <c r="I23" s="22" t="n">
        <v>186.82</v>
      </c>
      <c r="J23" s="21" t="n">
        <v>60</v>
      </c>
      <c r="K23" s="22" t="n">
        <v>5222.35</v>
      </c>
      <c r="L23" s="23" t="n">
        <v>0.0678</v>
      </c>
      <c r="M23" s="22" t="n">
        <v>0.3</v>
      </c>
      <c r="N23" s="23" t="n">
        <v>0.0977</v>
      </c>
      <c r="O23" s="22" t="n">
        <v>3.11</v>
      </c>
      <c r="P23" s="23" t="n">
        <v>27.95</v>
      </c>
    </row>
    <row r="24" customFormat="false" ht="21.75" hidden="false" customHeight="true" outlineLevel="0" collapsed="false">
      <c r="A24" s="16" t="s">
        <v>82</v>
      </c>
      <c r="B24" s="16" t="s">
        <v>78</v>
      </c>
      <c r="C24" s="16" t="s">
        <v>79</v>
      </c>
      <c r="D24" s="16" t="s">
        <v>80</v>
      </c>
      <c r="E24" s="16" t="s">
        <v>28</v>
      </c>
      <c r="F24" s="16" t="s">
        <v>44</v>
      </c>
      <c r="G24" s="18" t="n">
        <v>35824</v>
      </c>
      <c r="H24" s="18" t="n">
        <v>478</v>
      </c>
      <c r="I24" s="19" t="n">
        <v>672.28</v>
      </c>
      <c r="J24" s="18" t="n">
        <v>24</v>
      </c>
      <c r="K24" s="19" t="n">
        <v>1664.28</v>
      </c>
      <c r="L24" s="20" t="n">
        <v>0.0133</v>
      </c>
      <c r="M24" s="19" t="n">
        <v>1.41</v>
      </c>
      <c r="N24" s="20" t="n">
        <v>0.0502</v>
      </c>
      <c r="O24" s="19" t="n">
        <v>28.01</v>
      </c>
      <c r="P24" s="20" t="n">
        <v>2.48</v>
      </c>
    </row>
    <row r="25" customFormat="false" ht="21.75" hidden="false" customHeight="true" outlineLevel="0" collapsed="false">
      <c r="A25" s="15" t="s">
        <v>82</v>
      </c>
      <c r="B25" s="15" t="s">
        <v>78</v>
      </c>
      <c r="C25" s="15" t="s">
        <v>79</v>
      </c>
      <c r="D25" s="15" t="s">
        <v>80</v>
      </c>
      <c r="E25" s="15" t="s">
        <v>31</v>
      </c>
      <c r="F25" s="15" t="s">
        <v>44</v>
      </c>
      <c r="G25" s="21" t="n">
        <v>30516</v>
      </c>
      <c r="H25" s="21" t="n">
        <v>517</v>
      </c>
      <c r="I25" s="22" t="n">
        <v>633.12</v>
      </c>
      <c r="J25" s="21" t="n">
        <v>23</v>
      </c>
      <c r="K25" s="22" t="n">
        <v>1631.32</v>
      </c>
      <c r="L25" s="23" t="n">
        <v>0.0169</v>
      </c>
      <c r="M25" s="22" t="n">
        <v>1.22</v>
      </c>
      <c r="N25" s="23" t="n">
        <v>0.0445</v>
      </c>
      <c r="O25" s="22" t="n">
        <v>27.53</v>
      </c>
      <c r="P25" s="23" t="n">
        <v>2.58</v>
      </c>
    </row>
    <row r="26" customFormat="false" ht="21.75" hidden="false" customHeight="true" outlineLevel="0" collapsed="false">
      <c r="A26" s="16" t="s">
        <v>83</v>
      </c>
      <c r="B26" s="16" t="s">
        <v>69</v>
      </c>
      <c r="C26" s="16" t="s">
        <v>70</v>
      </c>
      <c r="D26" s="16" t="s">
        <v>71</v>
      </c>
      <c r="E26" s="16" t="s">
        <v>28</v>
      </c>
      <c r="F26" s="16" t="s">
        <v>34</v>
      </c>
      <c r="G26" s="18" t="n">
        <v>22078</v>
      </c>
      <c r="H26" s="18" t="n">
        <v>981</v>
      </c>
      <c r="I26" s="19" t="n">
        <v>1343.02</v>
      </c>
      <c r="J26" s="18" t="n">
        <v>84</v>
      </c>
      <c r="K26" s="19" t="n">
        <v>7432.89</v>
      </c>
      <c r="L26" s="20" t="n">
        <v>0.0444</v>
      </c>
      <c r="M26" s="19" t="n">
        <v>1.37</v>
      </c>
      <c r="N26" s="20" t="n">
        <v>0.0856</v>
      </c>
      <c r="O26" s="19" t="n">
        <v>15.99</v>
      </c>
      <c r="P26" s="20" t="n">
        <v>5.53</v>
      </c>
    </row>
    <row r="27" customFormat="false" ht="21.75" hidden="false" customHeight="true" outlineLevel="0" collapsed="false">
      <c r="A27" s="15" t="s">
        <v>83</v>
      </c>
      <c r="B27" s="15" t="s">
        <v>69</v>
      </c>
      <c r="C27" s="15" t="s">
        <v>70</v>
      </c>
      <c r="D27" s="15" t="s">
        <v>71</v>
      </c>
      <c r="E27" s="15" t="s">
        <v>31</v>
      </c>
      <c r="F27" s="15" t="s">
        <v>34</v>
      </c>
      <c r="G27" s="21" t="n">
        <v>18807</v>
      </c>
      <c r="H27" s="21" t="n">
        <v>1063</v>
      </c>
      <c r="I27" s="22" t="n">
        <v>1264.78</v>
      </c>
      <c r="J27" s="21" t="n">
        <v>79</v>
      </c>
      <c r="K27" s="22" t="n">
        <v>7285.71</v>
      </c>
      <c r="L27" s="23" t="n">
        <v>0.0565</v>
      </c>
      <c r="M27" s="22" t="n">
        <v>1.19</v>
      </c>
      <c r="N27" s="23" t="n">
        <v>0.0743</v>
      </c>
      <c r="O27" s="22" t="n">
        <v>16.01</v>
      </c>
      <c r="P27" s="23" t="n">
        <v>5.76</v>
      </c>
    </row>
    <row r="28" customFormat="false" ht="21.75" hidden="false" customHeight="true" outlineLevel="0" collapsed="false">
      <c r="A28" s="16" t="s">
        <v>83</v>
      </c>
      <c r="B28" s="16" t="s">
        <v>72</v>
      </c>
      <c r="C28" s="16" t="s">
        <v>73</v>
      </c>
      <c r="D28" s="16" t="s">
        <v>74</v>
      </c>
      <c r="E28" s="16" t="s">
        <v>28</v>
      </c>
      <c r="F28" s="16" t="s">
        <v>40</v>
      </c>
      <c r="G28" s="18" t="n">
        <v>31028</v>
      </c>
      <c r="H28" s="18" t="n">
        <v>827</v>
      </c>
      <c r="I28" s="19" t="n">
        <v>1047.1</v>
      </c>
      <c r="J28" s="18" t="n">
        <v>44</v>
      </c>
      <c r="K28" s="19" t="n">
        <v>3482.08</v>
      </c>
      <c r="L28" s="20" t="n">
        <v>0.0267</v>
      </c>
      <c r="M28" s="19" t="n">
        <v>1.27</v>
      </c>
      <c r="N28" s="20" t="n">
        <v>0.0532</v>
      </c>
      <c r="O28" s="19" t="n">
        <v>23.8</v>
      </c>
      <c r="P28" s="20" t="n">
        <v>3.33</v>
      </c>
    </row>
    <row r="29" customFormat="false" ht="21.75" hidden="false" customHeight="true" outlineLevel="0" collapsed="false">
      <c r="A29" s="15" t="s">
        <v>83</v>
      </c>
      <c r="B29" s="15" t="s">
        <v>72</v>
      </c>
      <c r="C29" s="15" t="s">
        <v>73</v>
      </c>
      <c r="D29" s="15" t="s">
        <v>74</v>
      </c>
      <c r="E29" s="15" t="s">
        <v>31</v>
      </c>
      <c r="F29" s="15" t="s">
        <v>40</v>
      </c>
      <c r="G29" s="21" t="n">
        <v>26432</v>
      </c>
      <c r="H29" s="21" t="n">
        <v>896</v>
      </c>
      <c r="I29" s="22" t="n">
        <v>986.1</v>
      </c>
      <c r="J29" s="21" t="n">
        <v>42</v>
      </c>
      <c r="K29" s="22" t="n">
        <v>3413.12</v>
      </c>
      <c r="L29" s="23" t="n">
        <v>0.0339</v>
      </c>
      <c r="M29" s="22" t="n">
        <v>1.1</v>
      </c>
      <c r="N29" s="23" t="n">
        <v>0.0469</v>
      </c>
      <c r="O29" s="22" t="n">
        <v>23.48</v>
      </c>
      <c r="P29" s="23" t="n">
        <v>3.46</v>
      </c>
    </row>
    <row r="30" customFormat="false" ht="21.75" hidden="false" customHeight="true" outlineLevel="0" collapsed="false">
      <c r="A30" s="16" t="s">
        <v>83</v>
      </c>
      <c r="B30" s="16" t="s">
        <v>75</v>
      </c>
      <c r="C30" s="16" t="s">
        <v>76</v>
      </c>
      <c r="D30" s="16" t="s">
        <v>77</v>
      </c>
      <c r="E30" s="16" t="s">
        <v>28</v>
      </c>
      <c r="F30" s="16" t="s">
        <v>27</v>
      </c>
      <c r="G30" s="18" t="n">
        <v>10979</v>
      </c>
      <c r="H30" s="18" t="n">
        <v>586</v>
      </c>
      <c r="I30" s="19" t="n">
        <v>204.87</v>
      </c>
      <c r="J30" s="18" t="n">
        <v>66</v>
      </c>
      <c r="K30" s="19" t="n">
        <v>5502.13</v>
      </c>
      <c r="L30" s="20" t="n">
        <v>0.0534</v>
      </c>
      <c r="M30" s="19" t="n">
        <v>0.35</v>
      </c>
      <c r="N30" s="20" t="n">
        <v>0.1126</v>
      </c>
      <c r="O30" s="19" t="n">
        <v>3.1</v>
      </c>
      <c r="P30" s="20" t="n">
        <v>26.86</v>
      </c>
    </row>
    <row r="31" customFormat="false" ht="21.75" hidden="false" customHeight="true" outlineLevel="0" collapsed="false">
      <c r="A31" s="15" t="s">
        <v>83</v>
      </c>
      <c r="B31" s="15" t="s">
        <v>75</v>
      </c>
      <c r="C31" s="15" t="s">
        <v>76</v>
      </c>
      <c r="D31" s="15" t="s">
        <v>77</v>
      </c>
      <c r="E31" s="15" t="s">
        <v>31</v>
      </c>
      <c r="F31" s="15" t="s">
        <v>27</v>
      </c>
      <c r="G31" s="21" t="n">
        <v>9353</v>
      </c>
      <c r="H31" s="21" t="n">
        <v>634</v>
      </c>
      <c r="I31" s="22" t="n">
        <v>192.93</v>
      </c>
      <c r="J31" s="21" t="n">
        <v>62</v>
      </c>
      <c r="K31" s="22" t="n">
        <v>5393.17</v>
      </c>
      <c r="L31" s="23" t="n">
        <v>0.0678</v>
      </c>
      <c r="M31" s="22" t="n">
        <v>0.3</v>
      </c>
      <c r="N31" s="23" t="n">
        <v>0.0978</v>
      </c>
      <c r="O31" s="22" t="n">
        <v>3.11</v>
      </c>
      <c r="P31" s="23" t="n">
        <v>27.95</v>
      </c>
    </row>
    <row r="32" customFormat="false" ht="21.75" hidden="false" customHeight="true" outlineLevel="0" collapsed="false">
      <c r="A32" s="16" t="s">
        <v>83</v>
      </c>
      <c r="B32" s="16" t="s">
        <v>78</v>
      </c>
      <c r="C32" s="16" t="s">
        <v>79</v>
      </c>
      <c r="D32" s="16" t="s">
        <v>80</v>
      </c>
      <c r="E32" s="16" t="s">
        <v>28</v>
      </c>
      <c r="F32" s="16" t="s">
        <v>44</v>
      </c>
      <c r="G32" s="18" t="n">
        <v>36995</v>
      </c>
      <c r="H32" s="18" t="n">
        <v>493</v>
      </c>
      <c r="I32" s="19" t="n">
        <v>694.27</v>
      </c>
      <c r="J32" s="18" t="n">
        <v>25</v>
      </c>
      <c r="K32" s="19" t="n">
        <v>1718.72</v>
      </c>
      <c r="L32" s="20" t="n">
        <v>0.0133</v>
      </c>
      <c r="M32" s="19" t="n">
        <v>1.41</v>
      </c>
      <c r="N32" s="20" t="n">
        <v>0.0507</v>
      </c>
      <c r="O32" s="19" t="n">
        <v>27.77</v>
      </c>
      <c r="P32" s="20" t="n">
        <v>2.48</v>
      </c>
    </row>
    <row r="33" customFormat="false" ht="21.75" hidden="false" customHeight="true" outlineLevel="0" collapsed="false">
      <c r="A33" s="15" t="s">
        <v>83</v>
      </c>
      <c r="B33" s="15" t="s">
        <v>78</v>
      </c>
      <c r="C33" s="15" t="s">
        <v>79</v>
      </c>
      <c r="D33" s="15" t="s">
        <v>80</v>
      </c>
      <c r="E33" s="15" t="s">
        <v>31</v>
      </c>
      <c r="F33" s="15" t="s">
        <v>44</v>
      </c>
      <c r="G33" s="21" t="n">
        <v>31515</v>
      </c>
      <c r="H33" s="21" t="n">
        <v>534</v>
      </c>
      <c r="I33" s="22" t="n">
        <v>653.83</v>
      </c>
      <c r="J33" s="21" t="n">
        <v>24</v>
      </c>
      <c r="K33" s="22" t="n">
        <v>1684.68</v>
      </c>
      <c r="L33" s="23" t="n">
        <v>0.0169</v>
      </c>
      <c r="M33" s="22" t="n">
        <v>1.22</v>
      </c>
      <c r="N33" s="23" t="n">
        <v>0.0449</v>
      </c>
      <c r="O33" s="22" t="n">
        <v>27.24</v>
      </c>
      <c r="P33" s="23" t="n">
        <v>2.58</v>
      </c>
    </row>
    <row r="34" customFormat="false" ht="21.75" hidden="false" customHeight="true" outlineLevel="0" collapsed="false">
      <c r="A34" s="16" t="s">
        <v>84</v>
      </c>
      <c r="B34" s="16" t="s">
        <v>69</v>
      </c>
      <c r="C34" s="16" t="s">
        <v>70</v>
      </c>
      <c r="D34" s="16" t="s">
        <v>71</v>
      </c>
      <c r="E34" s="16" t="s">
        <v>28</v>
      </c>
      <c r="F34" s="16" t="s">
        <v>34</v>
      </c>
      <c r="G34" s="18" t="n">
        <v>22777</v>
      </c>
      <c r="H34" s="18" t="n">
        <v>1012</v>
      </c>
      <c r="I34" s="19" t="n">
        <v>1385.56</v>
      </c>
      <c r="J34" s="18" t="n">
        <v>87</v>
      </c>
      <c r="K34" s="19" t="n">
        <v>7668.32</v>
      </c>
      <c r="L34" s="20" t="n">
        <v>0.0444</v>
      </c>
      <c r="M34" s="19" t="n">
        <v>1.37</v>
      </c>
      <c r="N34" s="20" t="n">
        <v>0.086</v>
      </c>
      <c r="O34" s="19" t="n">
        <v>15.93</v>
      </c>
      <c r="P34" s="20" t="n">
        <v>5.53</v>
      </c>
    </row>
    <row r="35" customFormat="false" ht="21.75" hidden="false" customHeight="true" outlineLevel="0" collapsed="false">
      <c r="A35" s="15" t="s">
        <v>84</v>
      </c>
      <c r="B35" s="15" t="s">
        <v>69</v>
      </c>
      <c r="C35" s="15" t="s">
        <v>70</v>
      </c>
      <c r="D35" s="15" t="s">
        <v>71</v>
      </c>
      <c r="E35" s="15" t="s">
        <v>31</v>
      </c>
      <c r="F35" s="15" t="s">
        <v>34</v>
      </c>
      <c r="G35" s="21" t="n">
        <v>19403</v>
      </c>
      <c r="H35" s="21" t="n">
        <v>1097</v>
      </c>
      <c r="I35" s="22" t="n">
        <v>1304.84</v>
      </c>
      <c r="J35" s="21" t="n">
        <v>82</v>
      </c>
      <c r="K35" s="22" t="n">
        <v>7516.48</v>
      </c>
      <c r="L35" s="23" t="n">
        <v>0.0565</v>
      </c>
      <c r="M35" s="22" t="n">
        <v>1.19</v>
      </c>
      <c r="N35" s="23" t="n">
        <v>0.0747</v>
      </c>
      <c r="O35" s="22" t="n">
        <v>15.91</v>
      </c>
      <c r="P35" s="23" t="n">
        <v>5.76</v>
      </c>
    </row>
    <row r="36" customFormat="false" ht="21.75" hidden="false" customHeight="true" outlineLevel="0" collapsed="false">
      <c r="A36" s="16" t="s">
        <v>84</v>
      </c>
      <c r="B36" s="16" t="s">
        <v>72</v>
      </c>
      <c r="C36" s="16" t="s">
        <v>73</v>
      </c>
      <c r="D36" s="16" t="s">
        <v>74</v>
      </c>
      <c r="E36" s="16" t="s">
        <v>28</v>
      </c>
      <c r="F36" s="16" t="s">
        <v>40</v>
      </c>
      <c r="G36" s="18" t="n">
        <v>32011</v>
      </c>
      <c r="H36" s="18" t="n">
        <v>854</v>
      </c>
      <c r="I36" s="19" t="n">
        <v>1080.26</v>
      </c>
      <c r="J36" s="18" t="n">
        <v>46</v>
      </c>
      <c r="K36" s="19" t="n">
        <v>3592.37</v>
      </c>
      <c r="L36" s="20" t="n">
        <v>0.0267</v>
      </c>
      <c r="M36" s="19" t="n">
        <v>1.26</v>
      </c>
      <c r="N36" s="20" t="n">
        <v>0.0539</v>
      </c>
      <c r="O36" s="19" t="n">
        <v>23.48</v>
      </c>
      <c r="P36" s="20" t="n">
        <v>3.33</v>
      </c>
    </row>
    <row r="37" customFormat="false" ht="21.75" hidden="false" customHeight="true" outlineLevel="0" collapsed="false">
      <c r="A37" s="15" t="s">
        <v>84</v>
      </c>
      <c r="B37" s="15" t="s">
        <v>72</v>
      </c>
      <c r="C37" s="15" t="s">
        <v>73</v>
      </c>
      <c r="D37" s="15" t="s">
        <v>74</v>
      </c>
      <c r="E37" s="15" t="s">
        <v>31</v>
      </c>
      <c r="F37" s="15" t="s">
        <v>40</v>
      </c>
      <c r="G37" s="21" t="n">
        <v>27269</v>
      </c>
      <c r="H37" s="21" t="n">
        <v>925</v>
      </c>
      <c r="I37" s="22" t="n">
        <v>1017.34</v>
      </c>
      <c r="J37" s="21" t="n">
        <v>43</v>
      </c>
      <c r="K37" s="22" t="n">
        <v>3521.23</v>
      </c>
      <c r="L37" s="23" t="n">
        <v>0.0339</v>
      </c>
      <c r="M37" s="22" t="n">
        <v>1.1</v>
      </c>
      <c r="N37" s="23" t="n">
        <v>0.0465</v>
      </c>
      <c r="O37" s="22" t="n">
        <v>23.66</v>
      </c>
      <c r="P37" s="23" t="n">
        <v>3.46</v>
      </c>
    </row>
    <row r="38" customFormat="false" ht="21.75" hidden="false" customHeight="true" outlineLevel="0" collapsed="false">
      <c r="A38" s="16" t="s">
        <v>84</v>
      </c>
      <c r="B38" s="16" t="s">
        <v>75</v>
      </c>
      <c r="C38" s="16" t="s">
        <v>76</v>
      </c>
      <c r="D38" s="16" t="s">
        <v>77</v>
      </c>
      <c r="E38" s="16" t="s">
        <v>28</v>
      </c>
      <c r="F38" s="16" t="s">
        <v>27</v>
      </c>
      <c r="G38" s="18" t="n">
        <v>11327</v>
      </c>
      <c r="H38" s="18" t="n">
        <v>604</v>
      </c>
      <c r="I38" s="19" t="n">
        <v>211.36</v>
      </c>
      <c r="J38" s="18" t="n">
        <v>68</v>
      </c>
      <c r="K38" s="19" t="n">
        <v>5676.4</v>
      </c>
      <c r="L38" s="20" t="n">
        <v>0.0533</v>
      </c>
      <c r="M38" s="19" t="n">
        <v>0.35</v>
      </c>
      <c r="N38" s="20" t="n">
        <v>0.1126</v>
      </c>
      <c r="O38" s="19" t="n">
        <v>3.11</v>
      </c>
      <c r="P38" s="20" t="n">
        <v>26.86</v>
      </c>
    </row>
    <row r="39" customFormat="false" ht="21.75" hidden="false" customHeight="true" outlineLevel="0" collapsed="false">
      <c r="A39" s="15" t="s">
        <v>84</v>
      </c>
      <c r="B39" s="15" t="s">
        <v>75</v>
      </c>
      <c r="C39" s="15" t="s">
        <v>76</v>
      </c>
      <c r="D39" s="15" t="s">
        <v>77</v>
      </c>
      <c r="E39" s="15" t="s">
        <v>31</v>
      </c>
      <c r="F39" s="15" t="s">
        <v>27</v>
      </c>
      <c r="G39" s="21" t="n">
        <v>9649</v>
      </c>
      <c r="H39" s="21" t="n">
        <v>654</v>
      </c>
      <c r="I39" s="22" t="n">
        <v>199.04</v>
      </c>
      <c r="J39" s="21" t="n">
        <v>64</v>
      </c>
      <c r="K39" s="22" t="n">
        <v>5564</v>
      </c>
      <c r="L39" s="23" t="n">
        <v>0.0678</v>
      </c>
      <c r="M39" s="22" t="n">
        <v>0.3</v>
      </c>
      <c r="N39" s="23" t="n">
        <v>0.0979</v>
      </c>
      <c r="O39" s="22" t="n">
        <v>3.11</v>
      </c>
      <c r="P39" s="23" t="n">
        <v>27.95</v>
      </c>
    </row>
    <row r="40" customFormat="false" ht="21.75" hidden="false" customHeight="true" outlineLevel="0" collapsed="false">
      <c r="A40" s="16" t="s">
        <v>84</v>
      </c>
      <c r="B40" s="16" t="s">
        <v>78</v>
      </c>
      <c r="C40" s="16" t="s">
        <v>79</v>
      </c>
      <c r="D40" s="16" t="s">
        <v>80</v>
      </c>
      <c r="E40" s="16" t="s">
        <v>28</v>
      </c>
      <c r="F40" s="16" t="s">
        <v>44</v>
      </c>
      <c r="G40" s="18" t="n">
        <v>38167</v>
      </c>
      <c r="H40" s="18" t="n">
        <v>509</v>
      </c>
      <c r="I40" s="19" t="n">
        <v>716.26</v>
      </c>
      <c r="J40" s="18" t="n">
        <v>26</v>
      </c>
      <c r="K40" s="19" t="n">
        <v>1773.16</v>
      </c>
      <c r="L40" s="20" t="n">
        <v>0.0133</v>
      </c>
      <c r="M40" s="19" t="n">
        <v>1.41</v>
      </c>
      <c r="N40" s="20" t="n">
        <v>0.0511</v>
      </c>
      <c r="O40" s="19" t="n">
        <v>27.55</v>
      </c>
      <c r="P40" s="20" t="n">
        <v>2.48</v>
      </c>
    </row>
    <row r="41" customFormat="false" ht="21.75" hidden="false" customHeight="true" outlineLevel="0" collapsed="false">
      <c r="A41" s="15" t="s">
        <v>84</v>
      </c>
      <c r="B41" s="15" t="s">
        <v>78</v>
      </c>
      <c r="C41" s="15" t="s">
        <v>79</v>
      </c>
      <c r="D41" s="15" t="s">
        <v>80</v>
      </c>
      <c r="E41" s="15" t="s">
        <v>31</v>
      </c>
      <c r="F41" s="15" t="s">
        <v>44</v>
      </c>
      <c r="G41" s="21" t="n">
        <v>32513</v>
      </c>
      <c r="H41" s="21" t="n">
        <v>551</v>
      </c>
      <c r="I41" s="22" t="n">
        <v>674.54</v>
      </c>
      <c r="J41" s="21" t="n">
        <v>24</v>
      </c>
      <c r="K41" s="22" t="n">
        <v>1738.04</v>
      </c>
      <c r="L41" s="23" t="n">
        <v>0.0169</v>
      </c>
      <c r="M41" s="22" t="n">
        <v>1.22</v>
      </c>
      <c r="N41" s="23" t="n">
        <v>0.0436</v>
      </c>
      <c r="O41" s="22" t="n">
        <v>28.11</v>
      </c>
      <c r="P41" s="23" t="n">
        <v>2.58</v>
      </c>
    </row>
    <row r="42" customFormat="false" ht="21.75" hidden="false" customHeight="true" outlineLevel="0" collapsed="false">
      <c r="A42" s="16" t="s">
        <v>85</v>
      </c>
      <c r="B42" s="16" t="s">
        <v>69</v>
      </c>
      <c r="C42" s="16" t="s">
        <v>70</v>
      </c>
      <c r="D42" s="16" t="s">
        <v>71</v>
      </c>
      <c r="E42" s="16" t="s">
        <v>28</v>
      </c>
      <c r="F42" s="16" t="s">
        <v>34</v>
      </c>
      <c r="G42" s="18" t="n">
        <v>23476</v>
      </c>
      <c r="H42" s="18" t="n">
        <v>1043</v>
      </c>
      <c r="I42" s="19" t="n">
        <v>1428.1</v>
      </c>
      <c r="J42" s="18" t="n">
        <v>90</v>
      </c>
      <c r="K42" s="19" t="n">
        <v>7903.76</v>
      </c>
      <c r="L42" s="20" t="n">
        <v>0.0444</v>
      </c>
      <c r="M42" s="19" t="n">
        <v>1.37</v>
      </c>
      <c r="N42" s="20" t="n">
        <v>0.0863</v>
      </c>
      <c r="O42" s="19" t="n">
        <v>15.87</v>
      </c>
      <c r="P42" s="20" t="n">
        <v>5.53</v>
      </c>
    </row>
    <row r="43" customFormat="false" ht="21.75" hidden="false" customHeight="true" outlineLevel="0" collapsed="false">
      <c r="A43" s="15" t="s">
        <v>85</v>
      </c>
      <c r="B43" s="15" t="s">
        <v>69</v>
      </c>
      <c r="C43" s="15" t="s">
        <v>70</v>
      </c>
      <c r="D43" s="15" t="s">
        <v>71</v>
      </c>
      <c r="E43" s="15" t="s">
        <v>31</v>
      </c>
      <c r="F43" s="15" t="s">
        <v>34</v>
      </c>
      <c r="G43" s="21" t="n">
        <v>19998</v>
      </c>
      <c r="H43" s="21" t="n">
        <v>1130</v>
      </c>
      <c r="I43" s="22" t="n">
        <v>1344.9</v>
      </c>
      <c r="J43" s="21" t="n">
        <v>84</v>
      </c>
      <c r="K43" s="22" t="n">
        <v>7747.24</v>
      </c>
      <c r="L43" s="23" t="n">
        <v>0.0565</v>
      </c>
      <c r="M43" s="22" t="n">
        <v>1.19</v>
      </c>
      <c r="N43" s="23" t="n">
        <v>0.0743</v>
      </c>
      <c r="O43" s="22" t="n">
        <v>16.01</v>
      </c>
      <c r="P43" s="23" t="n">
        <v>5.76</v>
      </c>
    </row>
    <row r="44" customFormat="false" ht="21.75" hidden="false" customHeight="true" outlineLevel="0" collapsed="false">
      <c r="A44" s="16" t="s">
        <v>85</v>
      </c>
      <c r="B44" s="16" t="s">
        <v>72</v>
      </c>
      <c r="C44" s="16" t="s">
        <v>73</v>
      </c>
      <c r="D44" s="16" t="s">
        <v>74</v>
      </c>
      <c r="E44" s="16" t="s">
        <v>28</v>
      </c>
      <c r="F44" s="16" t="s">
        <v>40</v>
      </c>
      <c r="G44" s="18" t="n">
        <v>32994</v>
      </c>
      <c r="H44" s="18" t="n">
        <v>880</v>
      </c>
      <c r="I44" s="19" t="n">
        <v>1113.43</v>
      </c>
      <c r="J44" s="18" t="n">
        <v>47</v>
      </c>
      <c r="K44" s="19" t="n">
        <v>3702.66</v>
      </c>
      <c r="L44" s="20" t="n">
        <v>0.0267</v>
      </c>
      <c r="M44" s="19" t="n">
        <v>1.27</v>
      </c>
      <c r="N44" s="20" t="n">
        <v>0.0534</v>
      </c>
      <c r="O44" s="19" t="n">
        <v>23.69</v>
      </c>
      <c r="P44" s="20" t="n">
        <v>3.33</v>
      </c>
    </row>
    <row r="45" customFormat="false" ht="21.75" hidden="false" customHeight="true" outlineLevel="0" collapsed="false">
      <c r="A45" s="15" t="s">
        <v>85</v>
      </c>
      <c r="B45" s="15" t="s">
        <v>72</v>
      </c>
      <c r="C45" s="15" t="s">
        <v>73</v>
      </c>
      <c r="D45" s="15" t="s">
        <v>74</v>
      </c>
      <c r="E45" s="15" t="s">
        <v>31</v>
      </c>
      <c r="F45" s="15" t="s">
        <v>40</v>
      </c>
      <c r="G45" s="21" t="n">
        <v>28106</v>
      </c>
      <c r="H45" s="21" t="n">
        <v>953</v>
      </c>
      <c r="I45" s="22" t="n">
        <v>1048.57</v>
      </c>
      <c r="J45" s="21" t="n">
        <v>44</v>
      </c>
      <c r="K45" s="22" t="n">
        <v>3629.34</v>
      </c>
      <c r="L45" s="23" t="n">
        <v>0.0339</v>
      </c>
      <c r="M45" s="22" t="n">
        <v>1.1</v>
      </c>
      <c r="N45" s="23" t="n">
        <v>0.0462</v>
      </c>
      <c r="O45" s="22" t="n">
        <v>23.83</v>
      </c>
      <c r="P45" s="23" t="n">
        <v>3.46</v>
      </c>
    </row>
    <row r="46" customFormat="false" ht="21.75" hidden="false" customHeight="true" outlineLevel="0" collapsed="false">
      <c r="A46" s="16" t="s">
        <v>85</v>
      </c>
      <c r="B46" s="16" t="s">
        <v>75</v>
      </c>
      <c r="C46" s="16" t="s">
        <v>76</v>
      </c>
      <c r="D46" s="16" t="s">
        <v>77</v>
      </c>
      <c r="E46" s="16" t="s">
        <v>28</v>
      </c>
      <c r="F46" s="16" t="s">
        <v>27</v>
      </c>
      <c r="G46" s="18" t="n">
        <v>11675</v>
      </c>
      <c r="H46" s="18" t="n">
        <v>623</v>
      </c>
      <c r="I46" s="19" t="n">
        <v>217.84</v>
      </c>
      <c r="J46" s="18" t="n">
        <v>70</v>
      </c>
      <c r="K46" s="19" t="n">
        <v>5850.68</v>
      </c>
      <c r="L46" s="20" t="n">
        <v>0.0534</v>
      </c>
      <c r="M46" s="19" t="n">
        <v>0.35</v>
      </c>
      <c r="N46" s="20" t="n">
        <v>0.1124</v>
      </c>
      <c r="O46" s="19" t="n">
        <v>3.11</v>
      </c>
      <c r="P46" s="20" t="n">
        <v>26.86</v>
      </c>
    </row>
    <row r="47" customFormat="false" ht="21.75" hidden="false" customHeight="true" outlineLevel="0" collapsed="false">
      <c r="A47" s="15" t="s">
        <v>85</v>
      </c>
      <c r="B47" s="15" t="s">
        <v>75</v>
      </c>
      <c r="C47" s="15" t="s">
        <v>76</v>
      </c>
      <c r="D47" s="15" t="s">
        <v>77</v>
      </c>
      <c r="E47" s="15" t="s">
        <v>31</v>
      </c>
      <c r="F47" s="15" t="s">
        <v>27</v>
      </c>
      <c r="G47" s="21" t="n">
        <v>9945</v>
      </c>
      <c r="H47" s="21" t="n">
        <v>675</v>
      </c>
      <c r="I47" s="22" t="n">
        <v>205.16</v>
      </c>
      <c r="J47" s="21" t="n">
        <v>66</v>
      </c>
      <c r="K47" s="22" t="n">
        <v>5734.82</v>
      </c>
      <c r="L47" s="23" t="n">
        <v>0.0679</v>
      </c>
      <c r="M47" s="22" t="n">
        <v>0.3</v>
      </c>
      <c r="N47" s="23" t="n">
        <v>0.0978</v>
      </c>
      <c r="O47" s="22" t="n">
        <v>3.11</v>
      </c>
      <c r="P47" s="23" t="n">
        <v>27.95</v>
      </c>
    </row>
    <row r="48" customFormat="false" ht="21.75" hidden="false" customHeight="true" outlineLevel="0" collapsed="false">
      <c r="A48" s="16" t="s">
        <v>85</v>
      </c>
      <c r="B48" s="16" t="s">
        <v>78</v>
      </c>
      <c r="C48" s="16" t="s">
        <v>79</v>
      </c>
      <c r="D48" s="16" t="s">
        <v>80</v>
      </c>
      <c r="E48" s="16" t="s">
        <v>28</v>
      </c>
      <c r="F48" s="16" t="s">
        <v>44</v>
      </c>
      <c r="G48" s="18" t="n">
        <v>39339</v>
      </c>
      <c r="H48" s="18" t="n">
        <v>525</v>
      </c>
      <c r="I48" s="19" t="n">
        <v>738.25</v>
      </c>
      <c r="J48" s="18" t="n">
        <v>27</v>
      </c>
      <c r="K48" s="19" t="n">
        <v>1827.6</v>
      </c>
      <c r="L48" s="20" t="n">
        <v>0.0133</v>
      </c>
      <c r="M48" s="19" t="n">
        <v>1.41</v>
      </c>
      <c r="N48" s="20" t="n">
        <v>0.0514</v>
      </c>
      <c r="O48" s="19" t="n">
        <v>27.34</v>
      </c>
      <c r="P48" s="20" t="n">
        <v>2.48</v>
      </c>
    </row>
    <row r="49" customFormat="false" ht="21.75" hidden="false" customHeight="true" outlineLevel="0" collapsed="false">
      <c r="A49" s="15" t="s">
        <v>85</v>
      </c>
      <c r="B49" s="15" t="s">
        <v>78</v>
      </c>
      <c r="C49" s="15" t="s">
        <v>79</v>
      </c>
      <c r="D49" s="15" t="s">
        <v>80</v>
      </c>
      <c r="E49" s="15" t="s">
        <v>31</v>
      </c>
      <c r="F49" s="15" t="s">
        <v>44</v>
      </c>
      <c r="G49" s="21" t="n">
        <v>33511</v>
      </c>
      <c r="H49" s="21" t="n">
        <v>568</v>
      </c>
      <c r="I49" s="22" t="n">
        <v>695.25</v>
      </c>
      <c r="J49" s="21" t="n">
        <v>25</v>
      </c>
      <c r="K49" s="22" t="n">
        <v>1791.4</v>
      </c>
      <c r="L49" s="23" t="n">
        <v>0.0169</v>
      </c>
      <c r="M49" s="22" t="n">
        <v>1.22</v>
      </c>
      <c r="N49" s="23" t="n">
        <v>0.044</v>
      </c>
      <c r="O49" s="22" t="n">
        <v>27.81</v>
      </c>
      <c r="P49" s="23" t="n">
        <v>2.58</v>
      </c>
    </row>
    <row r="50" customFormat="false" ht="21.75" hidden="false" customHeight="true" outlineLevel="0" collapsed="false"/>
    <row r="51" customFormat="false" ht="21.75" hidden="false" customHeight="true" outlineLevel="0" collapsed="false"/>
    <row r="52" customFormat="false" ht="21.75" hidden="false" customHeight="true" outlineLevel="0" collapsed="false"/>
    <row r="53" customFormat="false" ht="21.75" hidden="false" customHeight="true" outlineLevel="0" collapsed="false"/>
    <row r="54" customFormat="false" ht="21.75" hidden="false" customHeight="true" outlineLevel="0" collapsed="false"/>
    <row r="55" customFormat="false" ht="21.75" hidden="false" customHeight="true" outlineLevel="0" collapsed="false"/>
    <row r="56" customFormat="false" ht="21.75" hidden="false" customHeight="true" outlineLevel="0" collapsed="false"/>
    <row r="57" customFormat="false" ht="21.75" hidden="false" customHeight="true" outlineLevel="0" collapsed="false"/>
    <row r="58" customFormat="false" ht="21.75" hidden="false" customHeight="true" outlineLevel="0" collapsed="false"/>
    <row r="59" customFormat="false" ht="21.75" hidden="false" customHeight="true" outlineLevel="0" collapsed="false"/>
    <row r="60" customFormat="false" ht="21.75" hidden="false" customHeight="true" outlineLevel="0" collapsed="false"/>
    <row r="61" customFormat="false" ht="21.75" hidden="false" customHeight="true" outlineLevel="0" collapsed="false"/>
    <row r="62" customFormat="false" ht="21.75" hidden="false" customHeight="true" outlineLevel="0" collapsed="false"/>
    <row r="63" customFormat="false" ht="21.75" hidden="false" customHeight="true" outlineLevel="0" collapsed="false"/>
    <row r="64" customFormat="false" ht="21.75" hidden="false" customHeight="true" outlineLevel="0" collapsed="false"/>
    <row r="65" customFormat="false" ht="21.75" hidden="false" customHeight="true" outlineLevel="0" collapsed="false"/>
    <row r="66" customFormat="false" ht="21.75" hidden="false" customHeight="true" outlineLevel="0" collapsed="false"/>
    <row r="67" customFormat="false" ht="21.75" hidden="false" customHeight="true" outlineLevel="0" collapsed="false"/>
    <row r="68" customFormat="false" ht="21.75" hidden="false" customHeight="true" outlineLevel="0" collapsed="false"/>
    <row r="69" customFormat="false" ht="21.75" hidden="false" customHeight="true" outlineLevel="0" collapsed="false"/>
    <row r="70" customFormat="false" ht="21.75" hidden="false" customHeight="true" outlineLevel="0" collapsed="false"/>
    <row r="71" customFormat="false" ht="21.75" hidden="false" customHeight="true" outlineLevel="0" collapsed="false"/>
    <row r="72" customFormat="false" ht="21.75" hidden="false" customHeight="true" outlineLevel="0" collapsed="false"/>
    <row r="73" customFormat="false" ht="21.75" hidden="false" customHeight="true" outlineLevel="0" collapsed="false"/>
    <row r="74" customFormat="false" ht="21.75" hidden="false" customHeight="true" outlineLevel="0" collapsed="false"/>
    <row r="75" customFormat="false" ht="21.75" hidden="false" customHeight="true" outlineLevel="0" collapsed="false"/>
    <row r="76" customFormat="false" ht="21.75" hidden="false" customHeight="true" outlineLevel="0" collapsed="false"/>
    <row r="77" customFormat="false" ht="21.75" hidden="false" customHeight="true" outlineLevel="0" collapsed="false"/>
    <row r="78" customFormat="false" ht="21.75" hidden="false" customHeight="true" outlineLevel="0" collapsed="false"/>
    <row r="79" customFormat="false" ht="21.75" hidden="false" customHeight="true" outlineLevel="0" collapsed="false"/>
    <row r="80" customFormat="false" ht="21.75" hidden="false" customHeight="true" outlineLevel="0" collapsed="false"/>
    <row r="81" customFormat="false" ht="21.75" hidden="false" customHeight="true" outlineLevel="0" collapsed="false"/>
    <row r="82" customFormat="false" ht="21.75" hidden="false" customHeight="true" outlineLevel="0" collapsed="false"/>
    <row r="83" customFormat="false" ht="21.75" hidden="false" customHeight="true" outlineLevel="0" collapsed="false"/>
    <row r="84" customFormat="false" ht="21.75" hidden="false" customHeight="true" outlineLevel="0" collapsed="false"/>
    <row r="85" customFormat="false" ht="21.75" hidden="false" customHeight="true" outlineLevel="0" collapsed="false"/>
    <row r="86" customFormat="false" ht="21.75" hidden="false" customHeight="true" outlineLevel="0" collapsed="false"/>
    <row r="87" customFormat="false" ht="21.75" hidden="false" customHeight="true" outlineLevel="0" collapsed="false"/>
    <row r="88" customFormat="false" ht="21.75" hidden="false" customHeight="true" outlineLevel="0" collapsed="false"/>
    <row r="89" customFormat="false" ht="21.75" hidden="false" customHeight="true" outlineLevel="0" collapsed="false"/>
    <row r="90" customFormat="false" ht="21.75" hidden="false" customHeight="true" outlineLevel="0" collapsed="false"/>
    <row r="91" customFormat="false" ht="21.75" hidden="false" customHeight="true" outlineLevel="0" collapsed="false"/>
    <row r="92" customFormat="false" ht="21.75" hidden="false" customHeight="true" outlineLevel="0" collapsed="false"/>
    <row r="93" customFormat="false" ht="21.75" hidden="false" customHeight="true" outlineLevel="0" collapsed="false"/>
    <row r="94" customFormat="false" ht="21.75" hidden="false" customHeight="true" outlineLevel="0" collapsed="false"/>
    <row r="95" customFormat="false" ht="21.75" hidden="false" customHeight="true" outlineLevel="0" collapsed="false"/>
    <row r="96" customFormat="false" ht="21.75" hidden="false" customHeight="true" outlineLevel="0" collapsed="false"/>
    <row r="97" customFormat="false" ht="21.75" hidden="false" customHeight="true" outlineLevel="0" collapsed="false"/>
    <row r="98" customFormat="false" ht="21.75" hidden="false" customHeight="true" outlineLevel="0" collapsed="false"/>
    <row r="99" customFormat="false" ht="21.75" hidden="false" customHeight="true" outlineLevel="0" collapsed="false"/>
    <row r="100" customFormat="false" ht="21.75" hidden="false" customHeight="true" outlineLevel="0" collapsed="false"/>
    <row r="101" customFormat="false" ht="21.75" hidden="false" customHeight="true" outlineLevel="0" collapsed="false"/>
    <row r="102" customFormat="false" ht="21.75" hidden="false" customHeight="true" outlineLevel="0" collapsed="false"/>
    <row r="103" customFormat="false" ht="21.75" hidden="false" customHeight="true" outlineLevel="0" collapsed="false"/>
    <row r="104" customFormat="false" ht="21.75" hidden="false" customHeight="true" outlineLevel="0" collapsed="false"/>
    <row r="105" customFormat="false" ht="21.75" hidden="false" customHeight="true" outlineLevel="0" collapsed="false"/>
    <row r="106" customFormat="false" ht="21.75" hidden="false" customHeight="true" outlineLevel="0" collapsed="false"/>
    <row r="107" customFormat="false" ht="21.75" hidden="false" customHeight="true" outlineLevel="0" collapsed="false"/>
    <row r="108" customFormat="false" ht="21.75" hidden="false" customHeight="true" outlineLevel="0" collapsed="false"/>
    <row r="109" customFormat="false" ht="21.75" hidden="false" customHeight="true" outlineLevel="0" collapsed="false"/>
    <row r="110" customFormat="false" ht="21.75" hidden="false" customHeight="true" outlineLevel="0" collapsed="false"/>
    <row r="111" customFormat="false" ht="21.75" hidden="false" customHeight="true" outlineLevel="0" collapsed="false"/>
    <row r="112" customFormat="false" ht="21.75" hidden="false" customHeight="true" outlineLevel="0" collapsed="false"/>
    <row r="113" customFormat="false" ht="21.75" hidden="false" customHeight="true" outlineLevel="0" collapsed="false"/>
    <row r="114" customFormat="false" ht="21.75" hidden="false" customHeight="true" outlineLevel="0" collapsed="false"/>
    <row r="115" customFormat="false" ht="21.75" hidden="false" customHeight="true" outlineLevel="0" collapsed="false"/>
    <row r="116" customFormat="false" ht="21.75" hidden="false" customHeight="true" outlineLevel="0" collapsed="false"/>
    <row r="117" customFormat="false" ht="21.75" hidden="false" customHeight="true" outlineLevel="0" collapsed="false"/>
    <row r="118" customFormat="false" ht="21.75" hidden="false" customHeight="true" outlineLevel="0" collapsed="false"/>
    <row r="119" customFormat="false" ht="21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453125" defaultRowHeight="21.75" customHeight="false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</cols>
  <sheetData>
    <row r="1" customFormat="false" ht="33.75" hidden="false" customHeight="true" outlineLevel="0" collapsed="false">
      <c r="A1" s="1" t="s">
        <v>86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4" hidden="false" customHeight="true" outlineLevel="0" collapsed="false">
      <c r="A2" s="2" t="s">
        <v>87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4.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</row>
    <row r="4" customFormat="false" ht="21.75" hidden="false" customHeight="true" outlineLevel="0" collapsed="false">
      <c r="A4" s="14" t="s">
        <v>88</v>
      </c>
      <c r="B4" s="14" t="s">
        <v>89</v>
      </c>
      <c r="C4" s="14" t="s">
        <v>90</v>
      </c>
      <c r="D4" s="14" t="s">
        <v>91</v>
      </c>
      <c r="E4" s="14" t="s">
        <v>4</v>
      </c>
      <c r="F4" s="14" t="s">
        <v>3</v>
      </c>
      <c r="G4" s="14" t="s">
        <v>92</v>
      </c>
      <c r="H4" s="14" t="s">
        <v>6</v>
      </c>
      <c r="I4" s="14" t="s">
        <v>5</v>
      </c>
      <c r="J4" s="14" t="s">
        <v>93</v>
      </c>
    </row>
    <row r="5" customFormat="false" ht="21.75" hidden="false" customHeight="true" outlineLevel="0" collapsed="false">
      <c r="A5" s="15" t="s">
        <v>94</v>
      </c>
      <c r="B5" s="15" t="n">
        <f aca="false">SUMIF('Source Data'!$A$2:$A$49,"2026-04-06",'Source Data'!$G$2:$G$49)</f>
        <v>169400</v>
      </c>
      <c r="C5" s="15" t="n">
        <f aca="false">SUMIF('Source Data'!$A$2:$A$49,"2026-04-06",'Source Data'!$H$2:$H$49)</f>
        <v>5444</v>
      </c>
      <c r="D5" s="22" t="n">
        <f aca="false">SUMIF('Source Data'!$A$2:$A$49,"2026-04-06",'Source Data'!$I$2:$I$49)</f>
        <v>5780</v>
      </c>
      <c r="E5" s="15" t="n">
        <f aca="false">SUMIF('Source Data'!$A$2:$A$49,"2026-04-06",'Source Data'!$J$2:$J$49)</f>
        <v>386</v>
      </c>
      <c r="F5" s="22" t="n">
        <f aca="false">SUMIF('Source Data'!$A$2:$A$49,"2026-04-06",'Source Data'!$K$2:$K$49)</f>
        <v>32500</v>
      </c>
      <c r="G5" s="23" t="n">
        <f aca="false">IF(B5=0,0,C5/B5)</f>
        <v>0.0321369539551358</v>
      </c>
      <c r="H5" s="22" t="n">
        <f aca="false">IF(E5=0,0,D5/E5)</f>
        <v>14.9740932642487</v>
      </c>
      <c r="I5" s="24" t="n">
        <f aca="false">IF(D5=0,0,F5/D5)</f>
        <v>5.62283737024221</v>
      </c>
      <c r="J5" s="23"/>
    </row>
    <row r="6" customFormat="false" ht="21.75" hidden="false" customHeight="true" outlineLevel="0" collapsed="false">
      <c r="A6" s="16" t="s">
        <v>95</v>
      </c>
      <c r="B6" s="16" t="n">
        <f aca="false">SUMIF('Source Data'!$A$2:$A$49,"2026-04-13",'Source Data'!$G$2:$G$49)</f>
        <v>175329</v>
      </c>
      <c r="C6" s="16" t="n">
        <f aca="false">SUMIF('Source Data'!$A$2:$A$49,"2026-04-13",'Source Data'!$H$2:$H$49)</f>
        <v>5635</v>
      </c>
      <c r="D6" s="19" t="n">
        <f aca="false">SUMIF('Source Data'!$A$2:$A$49,"2026-04-13",'Source Data'!$I$2:$I$49)</f>
        <v>5982.3</v>
      </c>
      <c r="E6" s="16" t="n">
        <f aca="false">SUMIF('Source Data'!$A$2:$A$49,"2026-04-13",'Source Data'!$J$2:$J$49)</f>
        <v>399</v>
      </c>
      <c r="F6" s="19" t="n">
        <f aca="false">SUMIF('Source Data'!$A$2:$A$49,"2026-04-13",'Source Data'!$K$2:$K$49)</f>
        <v>33637.5</v>
      </c>
      <c r="G6" s="20" t="n">
        <f aca="false">IF(B6=0,0,C6/B6)</f>
        <v>0.0321395775941231</v>
      </c>
      <c r="H6" s="19" t="n">
        <f aca="false">IF(E6=0,0,D6/E6)</f>
        <v>14.9932330827068</v>
      </c>
      <c r="I6" s="25" t="n">
        <f aca="false">IF(D6=0,0,F6/D6)</f>
        <v>5.62283737024221</v>
      </c>
      <c r="J6" s="20" t="n">
        <f aca="false">IF(E5=0,0,E6/E5-1)</f>
        <v>0.0336787564766838</v>
      </c>
    </row>
    <row r="7" customFormat="false" ht="21.75" hidden="false" customHeight="true" outlineLevel="0" collapsed="false">
      <c r="A7" s="15" t="s">
        <v>96</v>
      </c>
      <c r="B7" s="15" t="n">
        <f aca="false">SUMIF('Source Data'!$A$2:$A$49,"2026-04-20",'Source Data'!$G$2:$G$49)</f>
        <v>181258</v>
      </c>
      <c r="C7" s="15" t="n">
        <f aca="false">SUMIF('Source Data'!$A$2:$A$49,"2026-04-20",'Source Data'!$H$2:$H$49)</f>
        <v>5824</v>
      </c>
      <c r="D7" s="22" t="n">
        <f aca="false">SUMIF('Source Data'!$A$2:$A$49,"2026-04-20",'Source Data'!$I$2:$I$49)</f>
        <v>6184.6</v>
      </c>
      <c r="E7" s="15" t="n">
        <f aca="false">SUMIF('Source Data'!$A$2:$A$49,"2026-04-20",'Source Data'!$J$2:$J$49)</f>
        <v>413</v>
      </c>
      <c r="F7" s="22" t="n">
        <f aca="false">SUMIF('Source Data'!$A$2:$A$49,"2026-04-20",'Source Data'!$K$2:$K$49)</f>
        <v>34775</v>
      </c>
      <c r="G7" s="23" t="n">
        <f aca="false">IF(B7=0,0,C7/B7)</f>
        <v>0.0321309955974357</v>
      </c>
      <c r="H7" s="22" t="n">
        <f aca="false">IF(E7=0,0,D7/E7)</f>
        <v>14.974818401937</v>
      </c>
      <c r="I7" s="24" t="n">
        <f aca="false">IF(D7=0,0,F7/D7)</f>
        <v>5.62283737024221</v>
      </c>
      <c r="J7" s="23" t="n">
        <f aca="false">IF(E6=0,0,E7/E6-1)</f>
        <v>0.0350877192982457</v>
      </c>
    </row>
    <row r="8" customFormat="false" ht="21.75" hidden="false" customHeight="true" outlineLevel="0" collapsed="false">
      <c r="A8" s="16" t="s">
        <v>97</v>
      </c>
      <c r="B8" s="16" t="n">
        <f aca="false">SUMIF('Source Data'!$A$2:$A$49,"2026-04-27",'Source Data'!$G$2:$G$49)</f>
        <v>187187</v>
      </c>
      <c r="C8" s="16" t="n">
        <f aca="false">SUMIF('Source Data'!$A$2:$A$49,"2026-04-27",'Source Data'!$H$2:$H$49)</f>
        <v>6014</v>
      </c>
      <c r="D8" s="19" t="n">
        <f aca="false">SUMIF('Source Data'!$A$2:$A$49,"2026-04-27",'Source Data'!$I$2:$I$49)</f>
        <v>6386.9</v>
      </c>
      <c r="E8" s="16" t="n">
        <f aca="false">SUMIF('Source Data'!$A$2:$A$49,"2026-04-27",'Source Data'!$J$2:$J$49)</f>
        <v>426</v>
      </c>
      <c r="F8" s="19" t="n">
        <f aca="false">SUMIF('Source Data'!$A$2:$A$49,"2026-04-27",'Source Data'!$K$2:$K$49)</f>
        <v>35912.5</v>
      </c>
      <c r="G8" s="20" t="n">
        <f aca="false">IF(B8=0,0,C8/B8)</f>
        <v>0.0321282995079787</v>
      </c>
      <c r="H8" s="19" t="n">
        <f aca="false">IF(E8=0,0,D8/E8)</f>
        <v>14.9927230046948</v>
      </c>
      <c r="I8" s="25" t="n">
        <f aca="false">IF(D8=0,0,F8/D8)</f>
        <v>5.62283737024222</v>
      </c>
      <c r="J8" s="20" t="n">
        <f aca="false">IF(E7=0,0,E8/E7-1)</f>
        <v>0.0314769975786926</v>
      </c>
    </row>
    <row r="9" customFormat="false" ht="21.75" hidden="false" customHeight="true" outlineLevel="0" collapsed="false">
      <c r="A9" s="15" t="s">
        <v>98</v>
      </c>
      <c r="B9" s="15" t="n">
        <f aca="false">SUMIF('Source Data'!$A$2:$A$49,"2026-05-04",'Source Data'!$G$2:$G$49)</f>
        <v>193116</v>
      </c>
      <c r="C9" s="15" t="n">
        <f aca="false">SUMIF('Source Data'!$A$2:$A$49,"2026-05-04",'Source Data'!$H$2:$H$49)</f>
        <v>6206</v>
      </c>
      <c r="D9" s="22" t="n">
        <f aca="false">SUMIF('Source Data'!$A$2:$A$49,"2026-05-04",'Source Data'!$I$2:$I$49)</f>
        <v>6589.2</v>
      </c>
      <c r="E9" s="15" t="n">
        <f aca="false">SUMIF('Source Data'!$A$2:$A$49,"2026-05-04",'Source Data'!$J$2:$J$49)</f>
        <v>440</v>
      </c>
      <c r="F9" s="22" t="n">
        <f aca="false">SUMIF('Source Data'!$A$2:$A$49,"2026-05-04",'Source Data'!$K$2:$K$49)</f>
        <v>37050</v>
      </c>
      <c r="G9" s="23" t="n">
        <f aca="false">IF(B9=0,0,C9/B9)</f>
        <v>0.0321361254375608</v>
      </c>
      <c r="H9" s="22" t="n">
        <f aca="false">IF(E9=0,0,D9/E9)</f>
        <v>14.9754545454545</v>
      </c>
      <c r="I9" s="24" t="n">
        <f aca="false">IF(D9=0,0,F9/D9)</f>
        <v>5.62283737024221</v>
      </c>
      <c r="J9" s="23" t="n">
        <f aca="false">IF(E8=0,0,E9/E8-1)</f>
        <v>0.0328638497652582</v>
      </c>
    </row>
    <row r="10" customFormat="false" ht="21.75" hidden="false" customHeight="true" outlineLevel="0" collapsed="false">
      <c r="A10" s="16" t="s">
        <v>99</v>
      </c>
      <c r="B10" s="16" t="n">
        <f aca="false">SUMIF('Source Data'!$A$2:$A$49,"2026-05-11",'Source Data'!$G$2:$G$49)</f>
        <v>199044</v>
      </c>
      <c r="C10" s="16" t="n">
        <f aca="false">SUMIF('Source Data'!$A$2:$A$49,"2026-05-11",'Source Data'!$H$2:$H$49)</f>
        <v>6397</v>
      </c>
      <c r="D10" s="19" t="n">
        <f aca="false">SUMIF('Source Data'!$A$2:$A$49,"2026-05-11",'Source Data'!$I$2:$I$49)</f>
        <v>6791.5</v>
      </c>
      <c r="E10" s="16" t="n">
        <f aca="false">SUMIF('Source Data'!$A$2:$A$49,"2026-05-11",'Source Data'!$J$2:$J$49)</f>
        <v>453</v>
      </c>
      <c r="F10" s="19" t="n">
        <f aca="false">SUMIF('Source Data'!$A$2:$A$49,"2026-05-11",'Source Data'!$K$2:$K$49)</f>
        <v>38187.5</v>
      </c>
      <c r="G10" s="20" t="n">
        <f aca="false">IF(B10=0,0,C10/B10)</f>
        <v>0.032138622616105</v>
      </c>
      <c r="H10" s="19" t="n">
        <f aca="false">IF(E10=0,0,D10/E10)</f>
        <v>14.9922737306843</v>
      </c>
      <c r="I10" s="25" t="n">
        <f aca="false">IF(D10=0,0,F10/D10)</f>
        <v>5.62283737024221</v>
      </c>
      <c r="J10" s="20" t="n">
        <f aca="false">IF(E9=0,0,E10/E9-1)</f>
        <v>0.0295454545454545</v>
      </c>
    </row>
    <row r="11" customFormat="false" ht="21.75" hidden="false" customHeight="true" outlineLevel="0" collapsed="false"/>
    <row r="12" customFormat="false" ht="21.75" hidden="false" customHeight="true" outlineLevel="0" collapsed="false"/>
    <row r="13" customFormat="false" ht="21.75" hidden="false" customHeight="true" outlineLevel="0" collapsed="false"/>
    <row r="14" customFormat="false" ht="21.75" hidden="false" customHeight="true" outlineLevel="0" collapsed="false"/>
    <row r="15" customFormat="false" ht="21.75" hidden="false" customHeight="true" outlineLevel="0" collapsed="false"/>
    <row r="16" customFormat="false" ht="21.75" hidden="false" customHeight="true" outlineLevel="0" collapsed="false"/>
    <row r="17" customFormat="false" ht="21.75" hidden="false" customHeight="true" outlineLevel="0" collapsed="false"/>
    <row r="18" customFormat="false" ht="21.75" hidden="false" customHeight="true" outlineLevel="0" collapsed="false"/>
    <row r="19" customFormat="false" ht="21.75" hidden="false" customHeight="true" outlineLevel="0" collapsed="false"/>
    <row r="20" customFormat="false" ht="21.75" hidden="false" customHeight="true" outlineLevel="0" collapsed="false"/>
    <row r="21" customFormat="false" ht="21.75" hidden="false" customHeight="true" outlineLevel="0" collapsed="false"/>
    <row r="22" customFormat="false" ht="21.75" hidden="false" customHeight="true" outlineLevel="0" collapsed="false"/>
    <row r="23" customFormat="false" ht="21.75" hidden="false" customHeight="true" outlineLevel="0" collapsed="false"/>
    <row r="24" customFormat="false" ht="21.75" hidden="false" customHeight="true" outlineLevel="0" collapsed="false"/>
    <row r="25" customFormat="false" ht="21.75" hidden="false" customHeight="true" outlineLevel="0" collapsed="false"/>
    <row r="26" customFormat="false" ht="21.75" hidden="false" customHeight="true" outlineLevel="0" collapsed="false"/>
    <row r="27" customFormat="false" ht="21.75" hidden="false" customHeight="true" outlineLevel="0" collapsed="false"/>
    <row r="28" customFormat="false" ht="21.75" hidden="false" customHeight="true" outlineLevel="0" collapsed="false"/>
    <row r="29" customFormat="false" ht="21.75" hidden="false" customHeight="true" outlineLevel="0" collapsed="false"/>
    <row r="30" customFormat="false" ht="21.75" hidden="false" customHeight="true" outlineLevel="0" collapsed="false"/>
    <row r="31" customFormat="false" ht="21.75" hidden="false" customHeight="true" outlineLevel="0" collapsed="false"/>
    <row r="32" customFormat="false" ht="21.75" hidden="false" customHeight="true" outlineLevel="0" collapsed="false"/>
    <row r="33" customFormat="false" ht="21.75" hidden="false" customHeight="true" outlineLevel="0" collapsed="false"/>
    <row r="34" customFormat="false" ht="21.75" hidden="false" customHeight="true" outlineLevel="0" collapsed="false"/>
    <row r="35" customFormat="false" ht="21.75" hidden="false" customHeight="true" outlineLevel="0" collapsed="false"/>
    <row r="36" customFormat="false" ht="21.75" hidden="false" customHeight="true" outlineLevel="0" collapsed="false"/>
    <row r="37" customFormat="false" ht="21.75" hidden="false" customHeight="true" outlineLevel="0" collapsed="false"/>
    <row r="38" customFormat="false" ht="21.75" hidden="false" customHeight="true" outlineLevel="0" collapsed="false"/>
    <row r="39" customFormat="false" ht="21.75" hidden="false" customHeight="true" outlineLevel="0" collapsed="false"/>
    <row r="40" customFormat="false" ht="21.75" hidden="false" customHeight="true" outlineLevel="0" collapsed="false"/>
    <row r="41" customFormat="false" ht="21.75" hidden="false" customHeight="true" outlineLevel="0" collapsed="false"/>
    <row r="42" customFormat="false" ht="21.75" hidden="false" customHeight="true" outlineLevel="0" collapsed="false"/>
    <row r="43" customFormat="false" ht="21.75" hidden="false" customHeight="true" outlineLevel="0" collapsed="false"/>
    <row r="44" customFormat="false" ht="21.75" hidden="false" customHeight="true" outlineLevel="0" collapsed="false"/>
    <row r="45" customFormat="false" ht="21.75" hidden="false" customHeight="true" outlineLevel="0" collapsed="false"/>
    <row r="46" customFormat="false" ht="21.75" hidden="false" customHeight="true" outlineLevel="0" collapsed="false"/>
    <row r="47" customFormat="false" ht="21.75" hidden="false" customHeight="true" outlineLevel="0" collapsed="false"/>
    <row r="48" customFormat="false" ht="21.75" hidden="false" customHeight="true" outlineLevel="0" collapsed="false"/>
    <row r="49" customFormat="false" ht="21.75" hidden="false" customHeight="true" outlineLevel="0" collapsed="false"/>
    <row r="50" customFormat="false" ht="21.75" hidden="false" customHeight="true" outlineLevel="0" collapsed="false"/>
    <row r="51" customFormat="false" ht="21.75" hidden="false" customHeight="true" outlineLevel="0" collapsed="false"/>
    <row r="52" customFormat="false" ht="21.75" hidden="false" customHeight="true" outlineLevel="0" collapsed="false"/>
    <row r="53" customFormat="false" ht="21.75" hidden="false" customHeight="true" outlineLevel="0" collapsed="false"/>
    <row r="54" customFormat="false" ht="21.75" hidden="false" customHeight="true" outlineLevel="0" collapsed="false"/>
    <row r="55" customFormat="false" ht="21.75" hidden="false" customHeight="true" outlineLevel="0" collapsed="false"/>
    <row r="56" customFormat="false" ht="21.75" hidden="false" customHeight="true" outlineLevel="0" collapsed="false"/>
    <row r="57" customFormat="false" ht="21.75" hidden="false" customHeight="true" outlineLevel="0" collapsed="false"/>
    <row r="58" customFormat="false" ht="21.75" hidden="false" customHeight="true" outlineLevel="0" collapsed="false"/>
    <row r="59" customFormat="false" ht="21.75" hidden="false" customHeight="true" outlineLevel="0" collapsed="false"/>
    <row r="60" customFormat="false" ht="21.75" hidden="false" customHeight="true" outlineLevel="0" collapsed="false"/>
    <row r="61" customFormat="false" ht="21.75" hidden="false" customHeight="true" outlineLevel="0" collapsed="false"/>
    <row r="62" customFormat="false" ht="21.75" hidden="false" customHeight="true" outlineLevel="0" collapsed="false"/>
    <row r="63" customFormat="false" ht="21.75" hidden="false" customHeight="true" outlineLevel="0" collapsed="false"/>
    <row r="64" customFormat="false" ht="21.75" hidden="false" customHeight="true" outlineLevel="0" collapsed="false"/>
    <row r="65" customFormat="false" ht="21.75" hidden="false" customHeight="true" outlineLevel="0" collapsed="false"/>
    <row r="66" customFormat="false" ht="21.75" hidden="false" customHeight="true" outlineLevel="0" collapsed="false"/>
    <row r="67" customFormat="false" ht="21.75" hidden="false" customHeight="true" outlineLevel="0" collapsed="false"/>
    <row r="68" customFormat="false" ht="21.75" hidden="false" customHeight="true" outlineLevel="0" collapsed="false"/>
    <row r="69" customFormat="false" ht="21.75" hidden="false" customHeight="true" outlineLevel="0" collapsed="false"/>
    <row r="70" customFormat="false" ht="21.75" hidden="false" customHeight="true" outlineLevel="0" collapsed="false"/>
    <row r="71" customFormat="false" ht="21.75" hidden="false" customHeight="true" outlineLevel="0" collapsed="false"/>
    <row r="72" customFormat="false" ht="21.75" hidden="false" customHeight="true" outlineLevel="0" collapsed="false"/>
    <row r="73" customFormat="false" ht="21.75" hidden="false" customHeight="true" outlineLevel="0" collapsed="false"/>
    <row r="74" customFormat="false" ht="21.75" hidden="false" customHeight="true" outlineLevel="0" collapsed="false"/>
    <row r="75" customFormat="false" ht="21.75" hidden="false" customHeight="true" outlineLevel="0" collapsed="false"/>
    <row r="76" customFormat="false" ht="21.75" hidden="false" customHeight="true" outlineLevel="0" collapsed="false"/>
    <row r="77" customFormat="false" ht="21.75" hidden="false" customHeight="true" outlineLevel="0" collapsed="false"/>
    <row r="78" customFormat="false" ht="21.75" hidden="false" customHeight="true" outlineLevel="0" collapsed="false"/>
    <row r="79" customFormat="false" ht="21.75" hidden="false" customHeight="true" outlineLevel="0" collapsed="false"/>
    <row r="80" customFormat="false" ht="21.75" hidden="false" customHeight="true" outlineLevel="0" collapsed="false"/>
    <row r="81" customFormat="false" ht="21.75" hidden="false" customHeight="true" outlineLevel="0" collapsed="false"/>
    <row r="82" customFormat="false" ht="21.75" hidden="false" customHeight="true" outlineLevel="0" collapsed="false"/>
    <row r="83" customFormat="false" ht="21.75" hidden="false" customHeight="true" outlineLevel="0" collapsed="false"/>
    <row r="84" customFormat="false" ht="21.75" hidden="false" customHeight="true" outlineLevel="0" collapsed="false"/>
    <row r="85" customFormat="false" ht="21.75" hidden="false" customHeight="true" outlineLevel="0" collapsed="false"/>
    <row r="86" customFormat="false" ht="21.75" hidden="false" customHeight="true" outlineLevel="0" collapsed="false"/>
    <row r="87" customFormat="false" ht="21.75" hidden="false" customHeight="true" outlineLevel="0" collapsed="false"/>
    <row r="88" customFormat="false" ht="21.75" hidden="false" customHeight="true" outlineLevel="0" collapsed="false"/>
    <row r="89" customFormat="false" ht="21.75" hidden="false" customHeight="true" outlineLevel="0" collapsed="false"/>
    <row r="90" customFormat="false" ht="21.75" hidden="false" customHeight="true" outlineLevel="0" collapsed="false"/>
    <row r="91" customFormat="false" ht="21.75" hidden="false" customHeight="true" outlineLevel="0" collapsed="false"/>
    <row r="92" customFormat="false" ht="21.75" hidden="false" customHeight="true" outlineLevel="0" collapsed="false"/>
    <row r="93" customFormat="false" ht="21.75" hidden="false" customHeight="true" outlineLevel="0" collapsed="false"/>
    <row r="94" customFormat="false" ht="21.75" hidden="false" customHeight="true" outlineLevel="0" collapsed="false"/>
    <row r="95" customFormat="false" ht="21.75" hidden="false" customHeight="true" outlineLevel="0" collapsed="false"/>
    <row r="96" customFormat="false" ht="21.75" hidden="false" customHeight="true" outlineLevel="0" collapsed="false"/>
    <row r="97" customFormat="false" ht="21.75" hidden="false" customHeight="true" outlineLevel="0" collapsed="false"/>
    <row r="98" customFormat="false" ht="21.75" hidden="false" customHeight="true" outlineLevel="0" collapsed="false"/>
    <row r="99" customFormat="false" ht="21.75" hidden="false" customHeight="true" outlineLevel="0" collapsed="false"/>
    <row r="100" customFormat="false" ht="21.75" hidden="false" customHeight="true" outlineLevel="0" collapsed="false"/>
    <row r="101" customFormat="false" ht="21.75" hidden="false" customHeight="true" outlineLevel="0" collapsed="false"/>
    <row r="102" customFormat="false" ht="21.75" hidden="false" customHeight="true" outlineLevel="0" collapsed="false"/>
    <row r="103" customFormat="false" ht="21.75" hidden="false" customHeight="true" outlineLevel="0" collapsed="false"/>
    <row r="104" customFormat="false" ht="21.75" hidden="false" customHeight="true" outlineLevel="0" collapsed="false"/>
    <row r="105" customFormat="false" ht="21.75" hidden="false" customHeight="true" outlineLevel="0" collapsed="false"/>
    <row r="106" customFormat="false" ht="21.75" hidden="false" customHeight="true" outlineLevel="0" collapsed="false"/>
    <row r="107" customFormat="false" ht="21.75" hidden="false" customHeight="true" outlineLevel="0" collapsed="false"/>
    <row r="108" customFormat="false" ht="21.75" hidden="false" customHeight="true" outlineLevel="0" collapsed="false"/>
    <row r="109" customFormat="false" ht="21.75" hidden="false" customHeight="true" outlineLevel="0" collapsed="false"/>
    <row r="110" customFormat="false" ht="21.75" hidden="false" customHeight="true" outlineLevel="0" collapsed="false"/>
    <row r="111" customFormat="false" ht="21.75" hidden="false" customHeight="true" outlineLevel="0" collapsed="false"/>
    <row r="112" customFormat="false" ht="21.75" hidden="false" customHeight="true" outlineLevel="0" collapsed="false"/>
    <row r="113" customFormat="false" ht="21.75" hidden="false" customHeight="true" outlineLevel="0" collapsed="false"/>
    <row r="114" customFormat="false" ht="21.75" hidden="false" customHeight="true" outlineLevel="0" collapsed="false"/>
    <row r="115" customFormat="false" ht="21.75" hidden="false" customHeight="true" outlineLevel="0" collapsed="false"/>
    <row r="116" customFormat="false" ht="21.75" hidden="false" customHeight="true" outlineLevel="0" collapsed="false"/>
    <row r="117" customFormat="false" ht="21.75" hidden="false" customHeight="true" outlineLevel="0" collapsed="false"/>
    <row r="118" customFormat="false" ht="21.75" hidden="false" customHeight="true" outlineLevel="0" collapsed="false"/>
    <row r="119" customFormat="false" ht="21.75" hidden="false" customHeight="true" outlineLevel="0" collapsed="false"/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453125" defaultRowHeight="21.7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6" min="6" style="0" width="15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8"/>
    <col collapsed="false" customWidth="true" hidden="false" outlineLevel="0" max="11" min="11" style="0" width="44"/>
  </cols>
  <sheetData>
    <row r="1" customFormat="false" ht="33.75" hidden="false" customHeight="true" outlineLevel="0" collapsed="false">
      <c r="A1" s="1" t="s">
        <v>100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4" hidden="false" customHeight="true" outlineLevel="0" collapsed="false">
      <c r="A2" s="2" t="s">
        <v>101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4.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21.75" hidden="false" customHeight="true" outlineLevel="0" collapsed="false">
      <c r="A4" s="14" t="s">
        <v>102</v>
      </c>
      <c r="B4" s="14" t="s">
        <v>89</v>
      </c>
      <c r="C4" s="14" t="s">
        <v>90</v>
      </c>
      <c r="D4" s="14" t="s">
        <v>91</v>
      </c>
      <c r="E4" s="14" t="s">
        <v>4</v>
      </c>
      <c r="F4" s="14" t="s">
        <v>3</v>
      </c>
      <c r="G4" s="14" t="s">
        <v>92</v>
      </c>
      <c r="H4" s="14" t="s">
        <v>6</v>
      </c>
      <c r="I4" s="14" t="s">
        <v>5</v>
      </c>
      <c r="J4" s="14" t="s">
        <v>103</v>
      </c>
      <c r="K4" s="14" t="s">
        <v>104</v>
      </c>
    </row>
    <row r="5" customFormat="false" ht="21.75" hidden="false" customHeight="true" outlineLevel="0" collapsed="false">
      <c r="A5" s="15" t="s">
        <v>75</v>
      </c>
      <c r="B5" s="21" t="n">
        <f aca="false">SUMIF('Source Data'!$B$2:$B$49,$A5,'Source Data'!$G$2:$G$49)</f>
        <v>120060</v>
      </c>
      <c r="C5" s="21" t="n">
        <f aca="false">SUMIF('Source Data'!$B$2:$B$49,$A5,'Source Data'!$H$2:$H$49)</f>
        <v>7203</v>
      </c>
      <c r="D5" s="22" t="n">
        <f aca="false">SUMIF('Source Data'!$B$2:$B$49,$A5,'Source Data'!$I$2:$I$49)</f>
        <v>2349</v>
      </c>
      <c r="E5" s="21" t="n">
        <f aca="false">SUMIF('Source Data'!$B$2:$B$49,$A5,'Source Data'!$J$2:$J$49)</f>
        <v>756</v>
      </c>
      <c r="F5" s="22" t="n">
        <f aca="false">SUMIF('Source Data'!$B$2:$B$49,$A5,'Source Data'!$K$2:$K$49)</f>
        <v>64336.5</v>
      </c>
      <c r="G5" s="23" t="n">
        <f aca="false">IF(B5=0,0,C5/B5)</f>
        <v>0.0599950024987506</v>
      </c>
      <c r="H5" s="22" t="n">
        <f aca="false">IF(E5=0,0,D5/E5)</f>
        <v>3.10714285714286</v>
      </c>
      <c r="I5" s="24" t="n">
        <f aca="false">IF(D5=0,0,F5/D5)</f>
        <v>27.3888888888889</v>
      </c>
      <c r="J5" s="15" t="str">
        <f aca="false">IF(I5&gt;=6,"Scale / defend",IF(I5&gt;=4,"Optimize","Diagnose"))</f>
        <v>Scale / defend</v>
      </c>
      <c r="K5" s="15" t="s">
        <v>105</v>
      </c>
    </row>
    <row r="6" customFormat="false" ht="21.75" hidden="false" customHeight="true" outlineLevel="0" collapsed="false">
      <c r="A6" s="16" t="s">
        <v>69</v>
      </c>
      <c r="B6" s="18" t="n">
        <f aca="false">SUMIF('Source Data'!$B$2:$B$49,$A6,'Source Data'!$G$2:$G$49)</f>
        <v>241424</v>
      </c>
      <c r="C6" s="18" t="n">
        <f aca="false">SUMIF('Source Data'!$B$2:$B$49,$A6,'Source Data'!$H$2:$H$49)</f>
        <v>12070</v>
      </c>
      <c r="D6" s="19" t="n">
        <f aca="false">SUMIF('Source Data'!$B$2:$B$49,$A6,'Source Data'!$I$2:$I$49)</f>
        <v>15399</v>
      </c>
      <c r="E6" s="18" t="n">
        <f aca="false">SUMIF('Source Data'!$B$2:$B$49,$A6,'Source Data'!$J$2:$J$49)</f>
        <v>966</v>
      </c>
      <c r="F6" s="19" t="n">
        <f aca="false">SUMIF('Source Data'!$B$2:$B$49,$A6,'Source Data'!$K$2:$K$49)</f>
        <v>86913</v>
      </c>
      <c r="G6" s="20" t="n">
        <f aca="false">IF(B6=0,0,C6/B6)</f>
        <v>0.0499950294916827</v>
      </c>
      <c r="H6" s="19" t="n">
        <f aca="false">IF(E6=0,0,D6/E6)</f>
        <v>15.9409937888199</v>
      </c>
      <c r="I6" s="25" t="n">
        <f aca="false">IF(D6=0,0,F6/D6)</f>
        <v>5.64406779661017</v>
      </c>
      <c r="J6" s="16" t="str">
        <f aca="false">IF(I6&gt;=6,"Scale / defend",IF(I6&gt;=4,"Optimize","Diagnose"))</f>
        <v>Optimize</v>
      </c>
      <c r="K6" s="16" t="s">
        <v>106</v>
      </c>
    </row>
    <row r="7" customFormat="false" ht="21.75" hidden="false" customHeight="true" outlineLevel="0" collapsed="false">
      <c r="A7" s="15" t="s">
        <v>72</v>
      </c>
      <c r="B7" s="21" t="n">
        <f aca="false">SUMIF('Source Data'!$B$2:$B$49,$A7,'Source Data'!$G$2:$G$49)</f>
        <v>339300</v>
      </c>
      <c r="C7" s="21" t="n">
        <f aca="false">SUMIF('Source Data'!$B$2:$B$49,$A7,'Source Data'!$H$2:$H$49)</f>
        <v>10179</v>
      </c>
      <c r="D7" s="22" t="n">
        <f aca="false">SUMIF('Source Data'!$B$2:$B$49,$A7,'Source Data'!$I$2:$I$49)</f>
        <v>12006</v>
      </c>
      <c r="E7" s="21" t="n">
        <f aca="false">SUMIF('Source Data'!$B$2:$B$49,$A7,'Source Data'!$J$2:$J$49)</f>
        <v>508</v>
      </c>
      <c r="F7" s="22" t="n">
        <f aca="false">SUMIF('Source Data'!$B$2:$B$49,$A7,'Source Data'!$K$2:$K$49)</f>
        <v>40716</v>
      </c>
      <c r="G7" s="23" t="n">
        <f aca="false">IF(B7=0,0,C7/B7)</f>
        <v>0.03</v>
      </c>
      <c r="H7" s="22" t="n">
        <f aca="false">IF(E7=0,0,D7/E7)</f>
        <v>23.6338582677165</v>
      </c>
      <c r="I7" s="24" t="n">
        <f aca="false">IF(D7=0,0,F7/D7)</f>
        <v>3.39130434782609</v>
      </c>
      <c r="J7" s="15" t="str">
        <f aca="false">IF(I7&gt;=6,"Scale / defend",IF(I7&gt;=4,"Optimize","Diagnose"))</f>
        <v>Diagnose</v>
      </c>
      <c r="K7" s="15" t="s">
        <v>107</v>
      </c>
    </row>
    <row r="8" customFormat="false" ht="21.75" hidden="false" customHeight="true" outlineLevel="0" collapsed="false">
      <c r="A8" s="16" t="s">
        <v>78</v>
      </c>
      <c r="B8" s="18" t="n">
        <f aca="false">SUMIF('Source Data'!$B$2:$B$49,$A8,'Source Data'!$G$2:$G$49)</f>
        <v>404550</v>
      </c>
      <c r="C8" s="18" t="n">
        <f aca="false">SUMIF('Source Data'!$B$2:$B$49,$A8,'Source Data'!$H$2:$H$49)</f>
        <v>6068</v>
      </c>
      <c r="D8" s="19" t="n">
        <f aca="false">SUMIF('Source Data'!$B$2:$B$49,$A8,'Source Data'!$I$2:$I$49)</f>
        <v>7960.5</v>
      </c>
      <c r="E8" s="18" t="n">
        <f aca="false">SUMIF('Source Data'!$B$2:$B$49,$A8,'Source Data'!$J$2:$J$49)</f>
        <v>287</v>
      </c>
      <c r="F8" s="19" t="n">
        <f aca="false">SUMIF('Source Data'!$B$2:$B$49,$A8,'Source Data'!$K$2:$K$49)</f>
        <v>20097</v>
      </c>
      <c r="G8" s="20" t="n">
        <f aca="false">IF(B8=0,0,C8/B8)</f>
        <v>0.0149993820294154</v>
      </c>
      <c r="H8" s="19" t="n">
        <f aca="false">IF(E8=0,0,D8/E8)</f>
        <v>27.7369337979094</v>
      </c>
      <c r="I8" s="25" t="n">
        <f aca="false">IF(D8=0,0,F8/D8)</f>
        <v>2.52459016393443</v>
      </c>
      <c r="J8" s="16" t="str">
        <f aca="false">IF(I8&gt;=6,"Scale / defend",IF(I8&gt;=4,"Optimize","Diagnose"))</f>
        <v>Diagnose</v>
      </c>
      <c r="K8" s="16" t="s">
        <v>108</v>
      </c>
    </row>
    <row r="9" customFormat="false" ht="21.75" hidden="false" customHeight="true" outlineLevel="0" collapsed="false">
      <c r="A9" s="7"/>
      <c r="B9" s="7"/>
      <c r="C9" s="7"/>
      <c r="D9" s="7"/>
      <c r="E9" s="7"/>
      <c r="F9" s="7"/>
      <c r="G9" s="7"/>
      <c r="H9" s="7"/>
      <c r="I9" s="7"/>
      <c r="J9" s="7"/>
      <c r="K9" s="7"/>
    </row>
    <row r="10" customFormat="false" ht="21.75" hidden="false" customHeight="true" outlineLevel="0" collapsed="false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</row>
    <row r="11" customFormat="false" ht="21.75" hidden="false" customHeight="true" outlineLevel="0" collapsed="false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</row>
    <row r="12" customFormat="false" ht="21.75" hidden="false" customHeight="true" outlineLevel="0" collapsed="false">
      <c r="A12" s="26" t="s">
        <v>109</v>
      </c>
      <c r="B12" s="7"/>
      <c r="C12" s="7"/>
      <c r="D12" s="7"/>
      <c r="E12" s="7"/>
      <c r="F12" s="7"/>
      <c r="G12" s="7"/>
      <c r="H12" s="7"/>
      <c r="I12" s="7"/>
      <c r="J12" s="7"/>
      <c r="K12" s="7"/>
    </row>
    <row r="13" customFormat="false" ht="21.75" hidden="false" customHeight="true" outlineLevel="0" collapsed="false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</row>
    <row r="14" customFormat="false" ht="21.75" hidden="false" customHeight="true" outlineLevel="0" collapsed="false">
      <c r="A14" s="14" t="s">
        <v>23</v>
      </c>
      <c r="B14" s="14" t="s">
        <v>90</v>
      </c>
      <c r="C14" s="14" t="s">
        <v>4</v>
      </c>
      <c r="D14" s="14" t="s">
        <v>110</v>
      </c>
      <c r="E14" s="14" t="s">
        <v>6</v>
      </c>
      <c r="F14" s="14" t="s">
        <v>5</v>
      </c>
      <c r="G14" s="7"/>
      <c r="H14" s="7"/>
      <c r="I14" s="7"/>
      <c r="J14" s="7"/>
      <c r="K14" s="7"/>
    </row>
    <row r="15" customFormat="false" ht="21.75" hidden="false" customHeight="true" outlineLevel="0" collapsed="false">
      <c r="A15" s="15" t="s">
        <v>31</v>
      </c>
      <c r="B15" s="15" t="n">
        <f aca="false">SUMIF('Source Data'!$E$2:$E$49,$A15,'Source Data'!$H$2:$H$49)</f>
        <v>18470</v>
      </c>
      <c r="C15" s="15" t="n">
        <f aca="false">SUMIF('Source Data'!$E$2:$E$49,$A15,'Source Data'!$J$2:$J$49)</f>
        <v>1219</v>
      </c>
      <c r="D15" s="15" t="n">
        <f aca="false">IF(B15=0,0,C15/B15)</f>
        <v>0.065998917162967</v>
      </c>
      <c r="E15" s="15" t="n">
        <f aca="false">IF(C15=0,0,SUMIF('Source Data'!$E$2:$E$49,$A15,'Source Data'!$I$2:$I$49)/C15)</f>
        <v>15.0053486464315</v>
      </c>
      <c r="F15" s="15" t="n">
        <f aca="false">IF(SUMIF('Source Data'!$E$2:$E$49,$A15,'Source Data'!$I$2:$I$49)=0,0,SUMIF('Source Data'!$E$2:$E$49,$A15,'Source Data'!$K$2:$K$49)/SUMIF('Source Data'!$E$2:$E$49,$A15,'Source Data'!$I$2:$I$49))</f>
        <v>5.73877512639737</v>
      </c>
      <c r="G15" s="7"/>
      <c r="H15" s="7"/>
      <c r="I15" s="7"/>
      <c r="J15" s="7"/>
      <c r="K15" s="7"/>
    </row>
    <row r="16" customFormat="false" ht="21.75" hidden="false" customHeight="true" outlineLevel="0" collapsed="false">
      <c r="A16" s="16" t="s">
        <v>28</v>
      </c>
      <c r="B16" s="16" t="n">
        <f aca="false">SUMIF('Source Data'!$E$2:$E$49,$A16,'Source Data'!$H$2:$H$49)</f>
        <v>17050</v>
      </c>
      <c r="C16" s="16" t="n">
        <f aca="false">SUMIF('Source Data'!$E$2:$E$49,$A16,'Source Data'!$J$2:$J$49)</f>
        <v>1298</v>
      </c>
      <c r="D16" s="16" t="n">
        <f aca="false">IF(B16=0,0,C16/B16)</f>
        <v>0.0761290322580645</v>
      </c>
      <c r="E16" s="16" t="n">
        <f aca="false">IF(C16=0,0,SUMIF('Source Data'!$E$2:$E$49,$A16,'Source Data'!$I$2:$I$49)/C16)</f>
        <v>14.9637750385208</v>
      </c>
      <c r="F16" s="16" t="n">
        <f aca="false">IF(SUMIF('Source Data'!$E$2:$E$49,$A16,'Source Data'!$I$2:$I$49)=0,0,SUMIF('Source Data'!$E$2:$E$49,$A16,'Source Data'!$K$2:$K$49)/SUMIF('Source Data'!$E$2:$E$49,$A16,'Source Data'!$I$2:$I$49))</f>
        <v>5.51365341466654</v>
      </c>
      <c r="G16" s="7"/>
      <c r="H16" s="7"/>
      <c r="I16" s="7"/>
      <c r="J16" s="7"/>
      <c r="K16" s="7"/>
    </row>
    <row r="17" customFormat="false" ht="21.75" hidden="false" customHeight="true" outlineLevel="0" collapsed="false"/>
    <row r="18" customFormat="false" ht="21.75" hidden="false" customHeight="true" outlineLevel="0" collapsed="false"/>
    <row r="19" customFormat="false" ht="21.75" hidden="false" customHeight="true" outlineLevel="0" collapsed="false"/>
    <row r="20" customFormat="false" ht="21.75" hidden="false" customHeight="true" outlineLevel="0" collapsed="false"/>
    <row r="21" customFormat="false" ht="21.75" hidden="false" customHeight="true" outlineLevel="0" collapsed="false"/>
    <row r="22" customFormat="false" ht="21.75" hidden="false" customHeight="true" outlineLevel="0" collapsed="false"/>
    <row r="23" customFormat="false" ht="21.75" hidden="false" customHeight="true" outlineLevel="0" collapsed="false"/>
    <row r="24" customFormat="false" ht="21.75" hidden="false" customHeight="true" outlineLevel="0" collapsed="false"/>
    <row r="25" customFormat="false" ht="21.75" hidden="false" customHeight="true" outlineLevel="0" collapsed="false"/>
    <row r="26" customFormat="false" ht="21.75" hidden="false" customHeight="true" outlineLevel="0" collapsed="false"/>
    <row r="27" customFormat="false" ht="21.75" hidden="false" customHeight="true" outlineLevel="0" collapsed="false"/>
    <row r="28" customFormat="false" ht="21.75" hidden="false" customHeight="true" outlineLevel="0" collapsed="false"/>
    <row r="29" customFormat="false" ht="21.75" hidden="false" customHeight="true" outlineLevel="0" collapsed="false"/>
    <row r="30" customFormat="false" ht="21.75" hidden="false" customHeight="true" outlineLevel="0" collapsed="false"/>
    <row r="31" customFormat="false" ht="21.75" hidden="false" customHeight="true" outlineLevel="0" collapsed="false"/>
    <row r="32" customFormat="false" ht="21.75" hidden="false" customHeight="true" outlineLevel="0" collapsed="false"/>
    <row r="33" customFormat="false" ht="21.75" hidden="false" customHeight="true" outlineLevel="0" collapsed="false"/>
    <row r="34" customFormat="false" ht="21.75" hidden="false" customHeight="true" outlineLevel="0" collapsed="false"/>
    <row r="35" customFormat="false" ht="21.75" hidden="false" customHeight="true" outlineLevel="0" collapsed="false"/>
    <row r="36" customFormat="false" ht="21.75" hidden="false" customHeight="true" outlineLevel="0" collapsed="false"/>
    <row r="37" customFormat="false" ht="21.75" hidden="false" customHeight="true" outlineLevel="0" collapsed="false"/>
    <row r="38" customFormat="false" ht="21.75" hidden="false" customHeight="true" outlineLevel="0" collapsed="false"/>
    <row r="39" customFormat="false" ht="21.75" hidden="false" customHeight="true" outlineLevel="0" collapsed="false"/>
    <row r="40" customFormat="false" ht="21.75" hidden="false" customHeight="true" outlineLevel="0" collapsed="false"/>
    <row r="41" customFormat="false" ht="21.75" hidden="false" customHeight="true" outlineLevel="0" collapsed="false"/>
    <row r="42" customFormat="false" ht="21.75" hidden="false" customHeight="true" outlineLevel="0" collapsed="false"/>
    <row r="43" customFormat="false" ht="21.75" hidden="false" customHeight="true" outlineLevel="0" collapsed="false"/>
    <row r="44" customFormat="false" ht="21.75" hidden="false" customHeight="true" outlineLevel="0" collapsed="false"/>
    <row r="45" customFormat="false" ht="21.75" hidden="false" customHeight="true" outlineLevel="0" collapsed="false"/>
    <row r="46" customFormat="false" ht="21.75" hidden="false" customHeight="true" outlineLevel="0" collapsed="false"/>
    <row r="47" customFormat="false" ht="21.75" hidden="false" customHeight="true" outlineLevel="0" collapsed="false"/>
    <row r="48" customFormat="false" ht="21.75" hidden="false" customHeight="true" outlineLevel="0" collapsed="false"/>
    <row r="49" customFormat="false" ht="21.75" hidden="false" customHeight="true" outlineLevel="0" collapsed="false"/>
    <row r="50" customFormat="false" ht="21.75" hidden="false" customHeight="true" outlineLevel="0" collapsed="false"/>
    <row r="51" customFormat="false" ht="21.75" hidden="false" customHeight="true" outlineLevel="0" collapsed="false"/>
    <row r="52" customFormat="false" ht="21.75" hidden="false" customHeight="true" outlineLevel="0" collapsed="false"/>
    <row r="53" customFormat="false" ht="21.75" hidden="false" customHeight="true" outlineLevel="0" collapsed="false"/>
    <row r="54" customFormat="false" ht="21.75" hidden="false" customHeight="true" outlineLevel="0" collapsed="false"/>
    <row r="55" customFormat="false" ht="21.75" hidden="false" customHeight="true" outlineLevel="0" collapsed="false"/>
    <row r="56" customFormat="false" ht="21.75" hidden="false" customHeight="true" outlineLevel="0" collapsed="false"/>
    <row r="57" customFormat="false" ht="21.75" hidden="false" customHeight="true" outlineLevel="0" collapsed="false"/>
    <row r="58" customFormat="false" ht="21.75" hidden="false" customHeight="true" outlineLevel="0" collapsed="false"/>
    <row r="59" customFormat="false" ht="21.75" hidden="false" customHeight="true" outlineLevel="0" collapsed="false"/>
    <row r="60" customFormat="false" ht="21.75" hidden="false" customHeight="true" outlineLevel="0" collapsed="false"/>
    <row r="61" customFormat="false" ht="21.75" hidden="false" customHeight="true" outlineLevel="0" collapsed="false"/>
    <row r="62" customFormat="false" ht="21.75" hidden="false" customHeight="true" outlineLevel="0" collapsed="false"/>
    <row r="63" customFormat="false" ht="21.75" hidden="false" customHeight="true" outlineLevel="0" collapsed="false"/>
    <row r="64" customFormat="false" ht="21.75" hidden="false" customHeight="true" outlineLevel="0" collapsed="false"/>
    <row r="65" customFormat="false" ht="21.75" hidden="false" customHeight="true" outlineLevel="0" collapsed="false"/>
    <row r="66" customFormat="false" ht="21.75" hidden="false" customHeight="true" outlineLevel="0" collapsed="false"/>
    <row r="67" customFormat="false" ht="21.75" hidden="false" customHeight="true" outlineLevel="0" collapsed="false"/>
    <row r="68" customFormat="false" ht="21.75" hidden="false" customHeight="true" outlineLevel="0" collapsed="false"/>
    <row r="69" customFormat="false" ht="21.75" hidden="false" customHeight="true" outlineLevel="0" collapsed="false"/>
    <row r="70" customFormat="false" ht="21.75" hidden="false" customHeight="true" outlineLevel="0" collapsed="false"/>
    <row r="71" customFormat="false" ht="21.75" hidden="false" customHeight="true" outlineLevel="0" collapsed="false"/>
    <row r="72" customFormat="false" ht="21.75" hidden="false" customHeight="true" outlineLevel="0" collapsed="false"/>
    <row r="73" customFormat="false" ht="21.75" hidden="false" customHeight="true" outlineLevel="0" collapsed="false"/>
    <row r="74" customFormat="false" ht="21.75" hidden="false" customHeight="true" outlineLevel="0" collapsed="false"/>
    <row r="75" customFormat="false" ht="21.75" hidden="false" customHeight="true" outlineLevel="0" collapsed="false"/>
    <row r="76" customFormat="false" ht="21.75" hidden="false" customHeight="true" outlineLevel="0" collapsed="false"/>
    <row r="77" customFormat="false" ht="21.75" hidden="false" customHeight="true" outlineLevel="0" collapsed="false"/>
    <row r="78" customFormat="false" ht="21.75" hidden="false" customHeight="true" outlineLevel="0" collapsed="false"/>
    <row r="79" customFormat="false" ht="21.75" hidden="false" customHeight="true" outlineLevel="0" collapsed="false"/>
    <row r="80" customFormat="false" ht="21.75" hidden="false" customHeight="true" outlineLevel="0" collapsed="false"/>
    <row r="81" customFormat="false" ht="21.75" hidden="false" customHeight="true" outlineLevel="0" collapsed="false"/>
    <row r="82" customFormat="false" ht="21.75" hidden="false" customHeight="true" outlineLevel="0" collapsed="false"/>
    <row r="83" customFormat="false" ht="21.75" hidden="false" customHeight="true" outlineLevel="0" collapsed="false"/>
    <row r="84" customFormat="false" ht="21.75" hidden="false" customHeight="true" outlineLevel="0" collapsed="false"/>
    <row r="85" customFormat="false" ht="21.75" hidden="false" customHeight="true" outlineLevel="0" collapsed="false"/>
    <row r="86" customFormat="false" ht="21.75" hidden="false" customHeight="true" outlineLevel="0" collapsed="false"/>
    <row r="87" customFormat="false" ht="21.75" hidden="false" customHeight="true" outlineLevel="0" collapsed="false"/>
    <row r="88" customFormat="false" ht="21.75" hidden="false" customHeight="true" outlineLevel="0" collapsed="false"/>
    <row r="89" customFormat="false" ht="21.75" hidden="false" customHeight="true" outlineLevel="0" collapsed="false"/>
    <row r="90" customFormat="false" ht="21.75" hidden="false" customHeight="true" outlineLevel="0" collapsed="false"/>
    <row r="91" customFormat="false" ht="21.75" hidden="false" customHeight="true" outlineLevel="0" collapsed="false"/>
    <row r="92" customFormat="false" ht="21.75" hidden="false" customHeight="true" outlineLevel="0" collapsed="false"/>
    <row r="93" customFormat="false" ht="21.75" hidden="false" customHeight="true" outlineLevel="0" collapsed="false"/>
    <row r="94" customFormat="false" ht="21.75" hidden="false" customHeight="true" outlineLevel="0" collapsed="false"/>
    <row r="95" customFormat="false" ht="21.75" hidden="false" customHeight="true" outlineLevel="0" collapsed="false"/>
    <row r="96" customFormat="false" ht="21.75" hidden="false" customHeight="true" outlineLevel="0" collapsed="false"/>
    <row r="97" customFormat="false" ht="21.75" hidden="false" customHeight="true" outlineLevel="0" collapsed="false"/>
    <row r="98" customFormat="false" ht="21.75" hidden="false" customHeight="true" outlineLevel="0" collapsed="false"/>
    <row r="99" customFormat="false" ht="21.75" hidden="false" customHeight="true" outlineLevel="0" collapsed="false"/>
    <row r="100" customFormat="false" ht="21.75" hidden="false" customHeight="true" outlineLevel="0" collapsed="false"/>
    <row r="101" customFormat="false" ht="21.75" hidden="false" customHeight="true" outlineLevel="0" collapsed="false"/>
    <row r="102" customFormat="false" ht="21.75" hidden="false" customHeight="true" outlineLevel="0" collapsed="false"/>
    <row r="103" customFormat="false" ht="21.75" hidden="false" customHeight="true" outlineLevel="0" collapsed="false"/>
    <row r="104" customFormat="false" ht="21.75" hidden="false" customHeight="true" outlineLevel="0" collapsed="false"/>
    <row r="105" customFormat="false" ht="21.75" hidden="false" customHeight="true" outlineLevel="0" collapsed="false"/>
    <row r="106" customFormat="false" ht="21.75" hidden="false" customHeight="true" outlineLevel="0" collapsed="false"/>
    <row r="107" customFormat="false" ht="21.75" hidden="false" customHeight="true" outlineLevel="0" collapsed="false"/>
    <row r="108" customFormat="false" ht="21.75" hidden="false" customHeight="true" outlineLevel="0" collapsed="false"/>
    <row r="109" customFormat="false" ht="21.75" hidden="false" customHeight="true" outlineLevel="0" collapsed="false"/>
    <row r="110" customFormat="false" ht="21.75" hidden="false" customHeight="true" outlineLevel="0" collapsed="false"/>
    <row r="111" customFormat="false" ht="21.75" hidden="false" customHeight="true" outlineLevel="0" collapsed="false"/>
    <row r="112" customFormat="false" ht="21.75" hidden="false" customHeight="true" outlineLevel="0" collapsed="false"/>
    <row r="113" customFormat="false" ht="21.75" hidden="false" customHeight="true" outlineLevel="0" collapsed="false"/>
    <row r="114" customFormat="false" ht="21.75" hidden="false" customHeight="true" outlineLevel="0" collapsed="false"/>
    <row r="115" customFormat="false" ht="21.75" hidden="false" customHeight="true" outlineLevel="0" collapsed="false"/>
    <row r="116" customFormat="false" ht="21.75" hidden="false" customHeight="true" outlineLevel="0" collapsed="false"/>
    <row r="117" customFormat="false" ht="21.75" hidden="false" customHeight="true" outlineLevel="0" collapsed="false"/>
    <row r="118" customFormat="false" ht="21.75" hidden="false" customHeight="true" outlineLevel="0" collapsed="false"/>
    <row r="119" customFormat="false" ht="21.75" hidden="false" customHeight="true" outlineLevel="0" collapsed="false"/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453125" defaultRowHeight="21.7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12"/>
    <col collapsed="false" customWidth="true" hidden="false" outlineLevel="0" max="6" min="5" style="0" width="13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36"/>
    <col collapsed="false" customWidth="true" hidden="false" outlineLevel="0" max="10" min="10" style="0" width="42"/>
    <col collapsed="false" customWidth="true" hidden="false" outlineLevel="0" max="11" min="11" style="0" width="13"/>
  </cols>
  <sheetData>
    <row r="1" customFormat="false" ht="33.75" hidden="false" customHeight="true" outlineLevel="0" collapsed="false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7"/>
    </row>
    <row r="2" customFormat="false" ht="24" hidden="false" customHeight="true" outlineLevel="0" collapsed="false">
      <c r="A2" s="2" t="s">
        <v>112</v>
      </c>
      <c r="B2" s="2"/>
      <c r="C2" s="2"/>
      <c r="D2" s="2"/>
      <c r="E2" s="2"/>
      <c r="F2" s="2"/>
      <c r="G2" s="2"/>
      <c r="H2" s="2"/>
      <c r="I2" s="2"/>
      <c r="J2" s="2"/>
      <c r="K2" s="7"/>
    </row>
    <row r="3" customFormat="false" ht="4.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7"/>
    </row>
    <row r="4" customFormat="false" ht="21.75" hidden="false" customHeight="true" outlineLevel="0" collapsed="false">
      <c r="A4" s="14" t="s">
        <v>113</v>
      </c>
      <c r="B4" s="14" t="s">
        <v>23</v>
      </c>
      <c r="C4" s="14" t="s">
        <v>114</v>
      </c>
      <c r="D4" s="14" t="s">
        <v>115</v>
      </c>
      <c r="E4" s="14" t="s">
        <v>116</v>
      </c>
      <c r="F4" s="14" t="s">
        <v>4</v>
      </c>
      <c r="G4" s="14" t="s">
        <v>3</v>
      </c>
      <c r="H4" s="14" t="s">
        <v>117</v>
      </c>
      <c r="I4" s="14" t="s">
        <v>118</v>
      </c>
      <c r="J4" s="14" t="s">
        <v>119</v>
      </c>
      <c r="K4" s="14" t="s">
        <v>26</v>
      </c>
    </row>
    <row r="5" customFormat="false" ht="33.75" hidden="false" customHeight="true" outlineLevel="0" collapsed="false">
      <c r="A5" s="15" t="s">
        <v>27</v>
      </c>
      <c r="B5" s="15" t="s">
        <v>28</v>
      </c>
      <c r="C5" s="15" t="n">
        <v>3458</v>
      </c>
      <c r="D5" s="23" t="n">
        <v>0.29</v>
      </c>
      <c r="E5" s="15" t="n">
        <v>158</v>
      </c>
      <c r="F5" s="15" t="n">
        <v>390</v>
      </c>
      <c r="G5" s="22" t="n">
        <v>32489.94</v>
      </c>
      <c r="H5" s="23" t="n">
        <v>0.1128</v>
      </c>
      <c r="I5" s="15" t="s">
        <v>29</v>
      </c>
      <c r="J5" s="15" t="s">
        <v>30</v>
      </c>
      <c r="K5" s="27" t="s">
        <v>13</v>
      </c>
    </row>
    <row r="6" customFormat="false" ht="33.75" hidden="false" customHeight="true" outlineLevel="0" collapsed="false">
      <c r="A6" s="16" t="s">
        <v>27</v>
      </c>
      <c r="B6" s="16" t="s">
        <v>31</v>
      </c>
      <c r="C6" s="16" t="n">
        <v>3745</v>
      </c>
      <c r="D6" s="20" t="n">
        <v>0.25</v>
      </c>
      <c r="E6" s="16" t="n">
        <v>176</v>
      </c>
      <c r="F6" s="16" t="n">
        <v>366</v>
      </c>
      <c r="G6" s="19" t="n">
        <v>31846.56</v>
      </c>
      <c r="H6" s="20" t="n">
        <v>0.0977</v>
      </c>
      <c r="I6" s="16" t="s">
        <v>32</v>
      </c>
      <c r="J6" s="16" t="s">
        <v>33</v>
      </c>
      <c r="K6" s="27" t="s">
        <v>13</v>
      </c>
    </row>
    <row r="7" customFormat="false" ht="33.75" hidden="false" customHeight="true" outlineLevel="0" collapsed="false">
      <c r="A7" s="15" t="s">
        <v>34</v>
      </c>
      <c r="B7" s="15" t="s">
        <v>28</v>
      </c>
      <c r="C7" s="15" t="n">
        <v>5793</v>
      </c>
      <c r="D7" s="23" t="n">
        <v>0.38</v>
      </c>
      <c r="E7" s="15" t="n">
        <v>112</v>
      </c>
      <c r="F7" s="15" t="n">
        <v>498</v>
      </c>
      <c r="G7" s="22" t="n">
        <v>43891.06</v>
      </c>
      <c r="H7" s="23" t="n">
        <v>0.086</v>
      </c>
      <c r="I7" s="15" t="s">
        <v>35</v>
      </c>
      <c r="J7" s="15" t="s">
        <v>36</v>
      </c>
      <c r="K7" s="28" t="s">
        <v>37</v>
      </c>
    </row>
    <row r="8" customFormat="false" ht="33.75" hidden="false" customHeight="true" outlineLevel="0" collapsed="false">
      <c r="A8" s="16" t="s">
        <v>34</v>
      </c>
      <c r="B8" s="16" t="s">
        <v>31</v>
      </c>
      <c r="C8" s="16" t="n">
        <v>6277</v>
      </c>
      <c r="D8" s="20" t="n">
        <v>0.32</v>
      </c>
      <c r="E8" s="16" t="n">
        <v>138</v>
      </c>
      <c r="F8" s="16" t="n">
        <v>468</v>
      </c>
      <c r="G8" s="19" t="n">
        <v>43021.94</v>
      </c>
      <c r="H8" s="20" t="n">
        <v>0.0746</v>
      </c>
      <c r="I8" s="16" t="s">
        <v>38</v>
      </c>
      <c r="J8" s="16" t="s">
        <v>39</v>
      </c>
      <c r="K8" s="28" t="s">
        <v>37</v>
      </c>
    </row>
    <row r="9" customFormat="false" ht="33.75" hidden="false" customHeight="true" outlineLevel="0" collapsed="false">
      <c r="A9" s="15" t="s">
        <v>40</v>
      </c>
      <c r="B9" s="15" t="s">
        <v>28</v>
      </c>
      <c r="C9" s="15" t="n">
        <v>4886</v>
      </c>
      <c r="D9" s="23" t="n">
        <v>0.47</v>
      </c>
      <c r="E9" s="15" t="n">
        <v>84</v>
      </c>
      <c r="F9" s="15" t="n">
        <v>262</v>
      </c>
      <c r="G9" s="22" t="n">
        <v>20561.58</v>
      </c>
      <c r="H9" s="23" t="n">
        <v>0.0536</v>
      </c>
      <c r="I9" s="15" t="s">
        <v>41</v>
      </c>
      <c r="J9" s="15" t="s">
        <v>42</v>
      </c>
      <c r="K9" s="29" t="s">
        <v>43</v>
      </c>
    </row>
    <row r="10" customFormat="false" ht="33.75" hidden="false" customHeight="true" outlineLevel="0" collapsed="false">
      <c r="A10" s="16" t="s">
        <v>44</v>
      </c>
      <c r="B10" s="16" t="s">
        <v>28</v>
      </c>
      <c r="C10" s="16" t="n">
        <v>2913</v>
      </c>
      <c r="D10" s="20" t="n">
        <v>0.52</v>
      </c>
      <c r="E10" s="16" t="n">
        <v>62</v>
      </c>
      <c r="F10" s="16" t="n">
        <v>148</v>
      </c>
      <c r="G10" s="19" t="n">
        <v>10149</v>
      </c>
      <c r="H10" s="20" t="n">
        <v>0.0508</v>
      </c>
      <c r="I10" s="16" t="s">
        <v>45</v>
      </c>
      <c r="J10" s="16" t="s">
        <v>46</v>
      </c>
      <c r="K10" s="29" t="s">
        <v>43</v>
      </c>
    </row>
    <row r="11" customFormat="false" ht="33.75" hidden="false" customHeight="true" outlineLevel="0" collapsed="false">
      <c r="A11" s="15" t="s">
        <v>40</v>
      </c>
      <c r="B11" s="15" t="s">
        <v>31</v>
      </c>
      <c r="C11" s="15" t="n">
        <v>5293</v>
      </c>
      <c r="D11" s="23" t="n">
        <v>0.41</v>
      </c>
      <c r="E11" s="15" t="n">
        <v>105</v>
      </c>
      <c r="F11" s="15" t="n">
        <v>246</v>
      </c>
      <c r="G11" s="22" t="n">
        <v>20154.42</v>
      </c>
      <c r="H11" s="23" t="n">
        <v>0.0465</v>
      </c>
      <c r="I11" s="15" t="s">
        <v>47</v>
      </c>
      <c r="J11" s="15" t="s">
        <v>48</v>
      </c>
      <c r="K11" s="28" t="s">
        <v>37</v>
      </c>
    </row>
    <row r="12" customFormat="false" ht="33.75" hidden="false" customHeight="true" outlineLevel="0" collapsed="false">
      <c r="A12" s="16" t="s">
        <v>44</v>
      </c>
      <c r="B12" s="16" t="s">
        <v>31</v>
      </c>
      <c r="C12" s="16" t="n">
        <v>3155</v>
      </c>
      <c r="D12" s="20" t="n">
        <v>0.45</v>
      </c>
      <c r="E12" s="16" t="n">
        <v>78</v>
      </c>
      <c r="F12" s="16" t="n">
        <v>139</v>
      </c>
      <c r="G12" s="19" t="n">
        <v>9948</v>
      </c>
      <c r="H12" s="20" t="n">
        <v>0.0441</v>
      </c>
      <c r="I12" s="16" t="s">
        <v>49</v>
      </c>
      <c r="J12" s="16" t="s">
        <v>50</v>
      </c>
      <c r="K12" s="29" t="s">
        <v>43</v>
      </c>
    </row>
    <row r="13" customFormat="false" ht="21.75" hidden="false" customHeight="true" outlineLevel="0" collapsed="false"/>
    <row r="14" customFormat="false" ht="21.75" hidden="false" customHeight="true" outlineLevel="0" collapsed="false"/>
    <row r="15" customFormat="false" ht="21.75" hidden="false" customHeight="true" outlineLevel="0" collapsed="false"/>
    <row r="16" customFormat="false" ht="21.75" hidden="false" customHeight="true" outlineLevel="0" collapsed="false"/>
    <row r="17" customFormat="false" ht="21.75" hidden="false" customHeight="true" outlineLevel="0" collapsed="false"/>
    <row r="18" customFormat="false" ht="21.75" hidden="false" customHeight="true" outlineLevel="0" collapsed="false"/>
    <row r="19" customFormat="false" ht="21.75" hidden="false" customHeight="true" outlineLevel="0" collapsed="false"/>
    <row r="20" customFormat="false" ht="21.75" hidden="false" customHeight="true" outlineLevel="0" collapsed="false"/>
    <row r="21" customFormat="false" ht="21.75" hidden="false" customHeight="true" outlineLevel="0" collapsed="false"/>
    <row r="22" customFormat="false" ht="21.75" hidden="false" customHeight="true" outlineLevel="0" collapsed="false"/>
    <row r="23" customFormat="false" ht="21.75" hidden="false" customHeight="true" outlineLevel="0" collapsed="false"/>
    <row r="24" customFormat="false" ht="21.75" hidden="false" customHeight="true" outlineLevel="0" collapsed="false"/>
    <row r="25" customFormat="false" ht="21.75" hidden="false" customHeight="true" outlineLevel="0" collapsed="false"/>
    <row r="26" customFormat="false" ht="21.75" hidden="false" customHeight="true" outlineLevel="0" collapsed="false"/>
    <row r="27" customFormat="false" ht="21.75" hidden="false" customHeight="true" outlineLevel="0" collapsed="false"/>
    <row r="28" customFormat="false" ht="21.75" hidden="false" customHeight="true" outlineLevel="0" collapsed="false"/>
    <row r="29" customFormat="false" ht="21.75" hidden="false" customHeight="true" outlineLevel="0" collapsed="false"/>
    <row r="30" customFormat="false" ht="21.75" hidden="false" customHeight="true" outlineLevel="0" collapsed="false"/>
    <row r="31" customFormat="false" ht="21.75" hidden="false" customHeight="true" outlineLevel="0" collapsed="false"/>
    <row r="32" customFormat="false" ht="21.75" hidden="false" customHeight="true" outlineLevel="0" collapsed="false"/>
    <row r="33" customFormat="false" ht="21.75" hidden="false" customHeight="true" outlineLevel="0" collapsed="false"/>
    <row r="34" customFormat="false" ht="21.75" hidden="false" customHeight="true" outlineLevel="0" collapsed="false"/>
    <row r="35" customFormat="false" ht="21.75" hidden="false" customHeight="true" outlineLevel="0" collapsed="false"/>
    <row r="36" customFormat="false" ht="21.75" hidden="false" customHeight="true" outlineLevel="0" collapsed="false"/>
    <row r="37" customFormat="false" ht="21.75" hidden="false" customHeight="true" outlineLevel="0" collapsed="false"/>
    <row r="38" customFormat="false" ht="21.75" hidden="false" customHeight="true" outlineLevel="0" collapsed="false"/>
    <row r="39" customFormat="false" ht="21.75" hidden="false" customHeight="true" outlineLevel="0" collapsed="false"/>
    <row r="40" customFormat="false" ht="21.75" hidden="false" customHeight="true" outlineLevel="0" collapsed="false"/>
    <row r="41" customFormat="false" ht="21.75" hidden="false" customHeight="true" outlineLevel="0" collapsed="false"/>
    <row r="42" customFormat="false" ht="21.75" hidden="false" customHeight="true" outlineLevel="0" collapsed="false"/>
    <row r="43" customFormat="false" ht="21.75" hidden="false" customHeight="true" outlineLevel="0" collapsed="false"/>
    <row r="44" customFormat="false" ht="21.75" hidden="false" customHeight="true" outlineLevel="0" collapsed="false"/>
    <row r="45" customFormat="false" ht="21.75" hidden="false" customHeight="true" outlineLevel="0" collapsed="false"/>
    <row r="46" customFormat="false" ht="21.75" hidden="false" customHeight="true" outlineLevel="0" collapsed="false"/>
    <row r="47" customFormat="false" ht="21.75" hidden="false" customHeight="true" outlineLevel="0" collapsed="false"/>
    <row r="48" customFormat="false" ht="21.75" hidden="false" customHeight="true" outlineLevel="0" collapsed="false"/>
    <row r="49" customFormat="false" ht="21.75" hidden="false" customHeight="true" outlineLevel="0" collapsed="false"/>
    <row r="50" customFormat="false" ht="21.75" hidden="false" customHeight="true" outlineLevel="0" collapsed="false"/>
    <row r="51" customFormat="false" ht="21.75" hidden="false" customHeight="true" outlineLevel="0" collapsed="false"/>
    <row r="52" customFormat="false" ht="21.75" hidden="false" customHeight="true" outlineLevel="0" collapsed="false"/>
    <row r="53" customFormat="false" ht="21.75" hidden="false" customHeight="true" outlineLevel="0" collapsed="false"/>
    <row r="54" customFormat="false" ht="21.75" hidden="false" customHeight="true" outlineLevel="0" collapsed="false"/>
    <row r="55" customFormat="false" ht="21.75" hidden="false" customHeight="true" outlineLevel="0" collapsed="false"/>
    <row r="56" customFormat="false" ht="21.75" hidden="false" customHeight="true" outlineLevel="0" collapsed="false"/>
    <row r="57" customFormat="false" ht="21.75" hidden="false" customHeight="true" outlineLevel="0" collapsed="false"/>
    <row r="58" customFormat="false" ht="21.75" hidden="false" customHeight="true" outlineLevel="0" collapsed="false"/>
    <row r="59" customFormat="false" ht="21.75" hidden="false" customHeight="true" outlineLevel="0" collapsed="false"/>
    <row r="60" customFormat="false" ht="21.75" hidden="false" customHeight="true" outlineLevel="0" collapsed="false"/>
    <row r="61" customFormat="false" ht="21.75" hidden="false" customHeight="true" outlineLevel="0" collapsed="false"/>
    <row r="62" customFormat="false" ht="21.75" hidden="false" customHeight="true" outlineLevel="0" collapsed="false"/>
    <row r="63" customFormat="false" ht="21.75" hidden="false" customHeight="true" outlineLevel="0" collapsed="false"/>
    <row r="64" customFormat="false" ht="21.75" hidden="false" customHeight="true" outlineLevel="0" collapsed="false"/>
    <row r="65" customFormat="false" ht="21.75" hidden="false" customHeight="true" outlineLevel="0" collapsed="false"/>
    <row r="66" customFormat="false" ht="21.75" hidden="false" customHeight="true" outlineLevel="0" collapsed="false"/>
    <row r="67" customFormat="false" ht="21.75" hidden="false" customHeight="true" outlineLevel="0" collapsed="false"/>
    <row r="68" customFormat="false" ht="21.75" hidden="false" customHeight="true" outlineLevel="0" collapsed="false"/>
    <row r="69" customFormat="false" ht="21.75" hidden="false" customHeight="true" outlineLevel="0" collapsed="false"/>
    <row r="70" customFormat="false" ht="21.75" hidden="false" customHeight="true" outlineLevel="0" collapsed="false"/>
    <row r="71" customFormat="false" ht="21.75" hidden="false" customHeight="true" outlineLevel="0" collapsed="false"/>
    <row r="72" customFormat="false" ht="21.75" hidden="false" customHeight="true" outlineLevel="0" collapsed="false"/>
    <row r="73" customFormat="false" ht="21.75" hidden="false" customHeight="true" outlineLevel="0" collapsed="false"/>
    <row r="74" customFormat="false" ht="21.75" hidden="false" customHeight="true" outlineLevel="0" collapsed="false"/>
    <row r="75" customFormat="false" ht="21.75" hidden="false" customHeight="true" outlineLevel="0" collapsed="false"/>
    <row r="76" customFormat="false" ht="21.75" hidden="false" customHeight="true" outlineLevel="0" collapsed="false"/>
    <row r="77" customFormat="false" ht="21.75" hidden="false" customHeight="true" outlineLevel="0" collapsed="false"/>
    <row r="78" customFormat="false" ht="21.75" hidden="false" customHeight="true" outlineLevel="0" collapsed="false"/>
    <row r="79" customFormat="false" ht="21.75" hidden="false" customHeight="true" outlineLevel="0" collapsed="false"/>
    <row r="80" customFormat="false" ht="21.75" hidden="false" customHeight="true" outlineLevel="0" collapsed="false"/>
    <row r="81" customFormat="false" ht="21.75" hidden="false" customHeight="true" outlineLevel="0" collapsed="false"/>
    <row r="82" customFormat="false" ht="21.75" hidden="false" customHeight="true" outlineLevel="0" collapsed="false"/>
    <row r="83" customFormat="false" ht="21.75" hidden="false" customHeight="true" outlineLevel="0" collapsed="false"/>
    <row r="84" customFormat="false" ht="21.75" hidden="false" customHeight="true" outlineLevel="0" collapsed="false"/>
    <row r="85" customFormat="false" ht="21.75" hidden="false" customHeight="true" outlineLevel="0" collapsed="false"/>
    <row r="86" customFormat="false" ht="21.75" hidden="false" customHeight="true" outlineLevel="0" collapsed="false"/>
    <row r="87" customFormat="false" ht="21.75" hidden="false" customHeight="true" outlineLevel="0" collapsed="false"/>
    <row r="88" customFormat="false" ht="21.75" hidden="false" customHeight="true" outlineLevel="0" collapsed="false"/>
    <row r="89" customFormat="false" ht="21.75" hidden="false" customHeight="true" outlineLevel="0" collapsed="false"/>
    <row r="90" customFormat="false" ht="21.75" hidden="false" customHeight="true" outlineLevel="0" collapsed="false"/>
    <row r="91" customFormat="false" ht="21.75" hidden="false" customHeight="true" outlineLevel="0" collapsed="false"/>
    <row r="92" customFormat="false" ht="21.75" hidden="false" customHeight="true" outlineLevel="0" collapsed="false"/>
    <row r="93" customFormat="false" ht="21.75" hidden="false" customHeight="true" outlineLevel="0" collapsed="false"/>
    <row r="94" customFormat="false" ht="21.75" hidden="false" customHeight="true" outlineLevel="0" collapsed="false"/>
    <row r="95" customFormat="false" ht="21.75" hidden="false" customHeight="true" outlineLevel="0" collapsed="false"/>
    <row r="96" customFormat="false" ht="21.75" hidden="false" customHeight="true" outlineLevel="0" collapsed="false"/>
    <row r="97" customFormat="false" ht="21.75" hidden="false" customHeight="true" outlineLevel="0" collapsed="false"/>
    <row r="98" customFormat="false" ht="21.75" hidden="false" customHeight="true" outlineLevel="0" collapsed="false"/>
    <row r="99" customFormat="false" ht="21.75" hidden="false" customHeight="true" outlineLevel="0" collapsed="false"/>
    <row r="100" customFormat="false" ht="21.75" hidden="false" customHeight="true" outlineLevel="0" collapsed="false"/>
    <row r="101" customFormat="false" ht="21.75" hidden="false" customHeight="true" outlineLevel="0" collapsed="false"/>
    <row r="102" customFormat="false" ht="21.75" hidden="false" customHeight="true" outlineLevel="0" collapsed="false"/>
    <row r="103" customFormat="false" ht="21.75" hidden="false" customHeight="true" outlineLevel="0" collapsed="false"/>
    <row r="104" customFormat="false" ht="21.75" hidden="false" customHeight="true" outlineLevel="0" collapsed="false"/>
    <row r="105" customFormat="false" ht="21.75" hidden="false" customHeight="true" outlineLevel="0" collapsed="false"/>
    <row r="106" customFormat="false" ht="21.75" hidden="false" customHeight="true" outlineLevel="0" collapsed="false"/>
    <row r="107" customFormat="false" ht="21.75" hidden="false" customHeight="true" outlineLevel="0" collapsed="false"/>
    <row r="108" customFormat="false" ht="21.75" hidden="false" customHeight="true" outlineLevel="0" collapsed="false"/>
    <row r="109" customFormat="false" ht="21.75" hidden="false" customHeight="true" outlineLevel="0" collapsed="false"/>
    <row r="110" customFormat="false" ht="21.75" hidden="false" customHeight="true" outlineLevel="0" collapsed="false"/>
    <row r="111" customFormat="false" ht="21.75" hidden="false" customHeight="true" outlineLevel="0" collapsed="false"/>
    <row r="112" customFormat="false" ht="21.75" hidden="false" customHeight="true" outlineLevel="0" collapsed="false"/>
    <row r="113" customFormat="false" ht="21.75" hidden="false" customHeight="true" outlineLevel="0" collapsed="false"/>
    <row r="114" customFormat="false" ht="21.75" hidden="false" customHeight="true" outlineLevel="0" collapsed="false"/>
    <row r="115" customFormat="false" ht="21.75" hidden="false" customHeight="true" outlineLevel="0" collapsed="false"/>
    <row r="116" customFormat="false" ht="21.75" hidden="false" customHeight="true" outlineLevel="0" collapsed="false"/>
    <row r="117" customFormat="false" ht="21.75" hidden="false" customHeight="true" outlineLevel="0" collapsed="false"/>
    <row r="118" customFormat="false" ht="21.75" hidden="false" customHeight="true" outlineLevel="0" collapsed="false"/>
    <row r="119" customFormat="false" ht="21.75" hidden="false" customHeight="true" outlineLevel="0" collapsed="false"/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453125" defaultRowHeight="21.7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  <col collapsed="false" customWidth="true" hidden="false" outlineLevel="0" max="4" min="3" style="0" width="16"/>
  </cols>
  <sheetData>
    <row r="1" customFormat="false" ht="33.75" hidden="false" customHeight="true" outlineLevel="0" collapsed="false">
      <c r="A1" s="1" t="s">
        <v>120</v>
      </c>
      <c r="B1" s="1"/>
      <c r="C1" s="1"/>
      <c r="D1" s="1"/>
    </row>
    <row r="2" customFormat="false" ht="24" hidden="false" customHeight="true" outlineLevel="0" collapsed="false">
      <c r="A2" s="2" t="s">
        <v>121</v>
      </c>
      <c r="B2" s="2"/>
      <c r="C2" s="2"/>
      <c r="D2" s="2"/>
    </row>
    <row r="3" customFormat="false" ht="4.5" hidden="false" customHeight="true" outlineLevel="0" collapsed="false">
      <c r="A3" s="3"/>
      <c r="B3" s="3"/>
      <c r="C3" s="3"/>
      <c r="D3" s="3"/>
    </row>
    <row r="4" customFormat="false" ht="21.75" hidden="false" customHeight="true" outlineLevel="0" collapsed="false">
      <c r="A4" s="14" t="s">
        <v>122</v>
      </c>
      <c r="B4" s="14" t="s">
        <v>123</v>
      </c>
      <c r="C4" s="7"/>
      <c r="D4" s="7"/>
    </row>
    <row r="5" customFormat="false" ht="21.75" hidden="false" customHeight="true" outlineLevel="0" collapsed="false">
      <c r="A5" s="15" t="s">
        <v>124</v>
      </c>
      <c r="B5" s="15" t="s">
        <v>125</v>
      </c>
      <c r="C5" s="7"/>
      <c r="D5" s="7"/>
    </row>
    <row r="6" customFormat="false" ht="21.75" hidden="false" customHeight="true" outlineLevel="0" collapsed="false">
      <c r="A6" s="16" t="s">
        <v>126</v>
      </c>
      <c r="B6" s="16" t="s">
        <v>127</v>
      </c>
      <c r="C6" s="7"/>
      <c r="D6" s="7"/>
    </row>
    <row r="7" customFormat="false" ht="21.75" hidden="false" customHeight="true" outlineLevel="0" collapsed="false">
      <c r="A7" s="15" t="s">
        <v>128</v>
      </c>
      <c r="B7" s="15" t="s">
        <v>129</v>
      </c>
      <c r="C7" s="7"/>
      <c r="D7" s="7"/>
    </row>
    <row r="8" customFormat="false" ht="21.75" hidden="false" customHeight="true" outlineLevel="0" collapsed="false">
      <c r="A8" s="16" t="s">
        <v>130</v>
      </c>
      <c r="B8" s="16" t="s">
        <v>131</v>
      </c>
      <c r="C8" s="7"/>
      <c r="D8" s="7"/>
    </row>
    <row r="9" customFormat="false" ht="21.75" hidden="false" customHeight="true" outlineLevel="0" collapsed="false">
      <c r="A9" s="15" t="s">
        <v>132</v>
      </c>
      <c r="B9" s="15" t="s">
        <v>133</v>
      </c>
      <c r="C9" s="7"/>
      <c r="D9" s="7"/>
    </row>
    <row r="10" customFormat="false" ht="21.75" hidden="false" customHeight="true" outlineLevel="0" collapsed="false"/>
    <row r="11" customFormat="false" ht="21.75" hidden="false" customHeight="true" outlineLevel="0" collapsed="false"/>
    <row r="12" customFormat="false" ht="21.75" hidden="false" customHeight="true" outlineLevel="0" collapsed="false"/>
    <row r="13" customFormat="false" ht="21.75" hidden="false" customHeight="true" outlineLevel="0" collapsed="false"/>
    <row r="14" customFormat="false" ht="21.75" hidden="false" customHeight="true" outlineLevel="0" collapsed="false"/>
    <row r="15" customFormat="false" ht="21.75" hidden="false" customHeight="true" outlineLevel="0" collapsed="false"/>
    <row r="16" customFormat="false" ht="21.75" hidden="false" customHeight="true" outlineLevel="0" collapsed="false"/>
    <row r="17" customFormat="false" ht="21.75" hidden="false" customHeight="true" outlineLevel="0" collapsed="false"/>
    <row r="18" customFormat="false" ht="21.75" hidden="false" customHeight="true" outlineLevel="0" collapsed="false"/>
    <row r="19" customFormat="false" ht="21.75" hidden="false" customHeight="true" outlineLevel="0" collapsed="false"/>
    <row r="20" customFormat="false" ht="21.75" hidden="false" customHeight="true" outlineLevel="0" collapsed="false"/>
    <row r="21" customFormat="false" ht="21.75" hidden="false" customHeight="true" outlineLevel="0" collapsed="false"/>
    <row r="22" customFormat="false" ht="21.75" hidden="false" customHeight="true" outlineLevel="0" collapsed="false"/>
    <row r="23" customFormat="false" ht="21.75" hidden="false" customHeight="true" outlineLevel="0" collapsed="false"/>
    <row r="24" customFormat="false" ht="21.75" hidden="false" customHeight="true" outlineLevel="0" collapsed="false"/>
    <row r="25" customFormat="false" ht="21.75" hidden="false" customHeight="true" outlineLevel="0" collapsed="false"/>
    <row r="26" customFormat="false" ht="21.75" hidden="false" customHeight="true" outlineLevel="0" collapsed="false"/>
    <row r="27" customFormat="false" ht="21.75" hidden="false" customHeight="true" outlineLevel="0" collapsed="false"/>
    <row r="28" customFormat="false" ht="21.75" hidden="false" customHeight="true" outlineLevel="0" collapsed="false"/>
    <row r="29" customFormat="false" ht="21.75" hidden="false" customHeight="true" outlineLevel="0" collapsed="false"/>
    <row r="30" customFormat="false" ht="21.75" hidden="false" customHeight="true" outlineLevel="0" collapsed="false"/>
    <row r="31" customFormat="false" ht="21.75" hidden="false" customHeight="true" outlineLevel="0" collapsed="false"/>
    <row r="32" customFormat="false" ht="21.75" hidden="false" customHeight="true" outlineLevel="0" collapsed="false"/>
    <row r="33" customFormat="false" ht="21.75" hidden="false" customHeight="true" outlineLevel="0" collapsed="false"/>
    <row r="34" customFormat="false" ht="21.75" hidden="false" customHeight="true" outlineLevel="0" collapsed="false"/>
    <row r="35" customFormat="false" ht="21.75" hidden="false" customHeight="true" outlineLevel="0" collapsed="false"/>
    <row r="36" customFormat="false" ht="21.75" hidden="false" customHeight="true" outlineLevel="0" collapsed="false"/>
    <row r="37" customFormat="false" ht="21.75" hidden="false" customHeight="true" outlineLevel="0" collapsed="false"/>
    <row r="38" customFormat="false" ht="21.75" hidden="false" customHeight="true" outlineLevel="0" collapsed="false"/>
    <row r="39" customFormat="false" ht="21.75" hidden="false" customHeight="true" outlineLevel="0" collapsed="false"/>
    <row r="40" customFormat="false" ht="21.75" hidden="false" customHeight="true" outlineLevel="0" collapsed="false"/>
    <row r="41" customFormat="false" ht="21.75" hidden="false" customHeight="true" outlineLevel="0" collapsed="false"/>
    <row r="42" customFormat="false" ht="21.75" hidden="false" customHeight="true" outlineLevel="0" collapsed="false"/>
    <row r="43" customFormat="false" ht="21.75" hidden="false" customHeight="true" outlineLevel="0" collapsed="false"/>
    <row r="44" customFormat="false" ht="21.75" hidden="false" customHeight="true" outlineLevel="0" collapsed="false"/>
    <row r="45" customFormat="false" ht="21.75" hidden="false" customHeight="true" outlineLevel="0" collapsed="false"/>
    <row r="46" customFormat="false" ht="21.75" hidden="false" customHeight="true" outlineLevel="0" collapsed="false"/>
    <row r="47" customFormat="false" ht="21.75" hidden="false" customHeight="true" outlineLevel="0" collapsed="false"/>
    <row r="48" customFormat="false" ht="21.75" hidden="false" customHeight="true" outlineLevel="0" collapsed="false"/>
    <row r="49" customFormat="false" ht="21.75" hidden="false" customHeight="true" outlineLevel="0" collapsed="false"/>
    <row r="50" customFormat="false" ht="21.75" hidden="false" customHeight="true" outlineLevel="0" collapsed="false"/>
    <row r="51" customFormat="false" ht="21.75" hidden="false" customHeight="true" outlineLevel="0" collapsed="false"/>
    <row r="52" customFormat="false" ht="21.75" hidden="false" customHeight="true" outlineLevel="0" collapsed="false"/>
    <row r="53" customFormat="false" ht="21.75" hidden="false" customHeight="true" outlineLevel="0" collapsed="false"/>
    <row r="54" customFormat="false" ht="21.75" hidden="false" customHeight="true" outlineLevel="0" collapsed="false"/>
    <row r="55" customFormat="false" ht="21.75" hidden="false" customHeight="true" outlineLevel="0" collapsed="false"/>
    <row r="56" customFormat="false" ht="21.75" hidden="false" customHeight="true" outlineLevel="0" collapsed="false"/>
    <row r="57" customFormat="false" ht="21.75" hidden="false" customHeight="true" outlineLevel="0" collapsed="false"/>
    <row r="58" customFormat="false" ht="21.75" hidden="false" customHeight="true" outlineLevel="0" collapsed="false"/>
    <row r="59" customFormat="false" ht="21.75" hidden="false" customHeight="true" outlineLevel="0" collapsed="false"/>
    <row r="60" customFormat="false" ht="21.75" hidden="false" customHeight="true" outlineLevel="0" collapsed="false"/>
    <row r="61" customFormat="false" ht="21.75" hidden="false" customHeight="true" outlineLevel="0" collapsed="false"/>
    <row r="62" customFormat="false" ht="21.75" hidden="false" customHeight="true" outlineLevel="0" collapsed="false"/>
    <row r="63" customFormat="false" ht="21.75" hidden="false" customHeight="true" outlineLevel="0" collapsed="false"/>
    <row r="64" customFormat="false" ht="21.75" hidden="false" customHeight="true" outlineLevel="0" collapsed="false"/>
    <row r="65" customFormat="false" ht="21.75" hidden="false" customHeight="true" outlineLevel="0" collapsed="false"/>
    <row r="66" customFormat="false" ht="21.75" hidden="false" customHeight="true" outlineLevel="0" collapsed="false"/>
    <row r="67" customFormat="false" ht="21.75" hidden="false" customHeight="true" outlineLevel="0" collapsed="false"/>
    <row r="68" customFormat="false" ht="21.75" hidden="false" customHeight="true" outlineLevel="0" collapsed="false"/>
    <row r="69" customFormat="false" ht="21.75" hidden="false" customHeight="true" outlineLevel="0" collapsed="false"/>
    <row r="70" customFormat="false" ht="21.75" hidden="false" customHeight="true" outlineLevel="0" collapsed="false"/>
    <row r="71" customFormat="false" ht="21.75" hidden="false" customHeight="true" outlineLevel="0" collapsed="false"/>
    <row r="72" customFormat="false" ht="21.75" hidden="false" customHeight="true" outlineLevel="0" collapsed="false"/>
    <row r="73" customFormat="false" ht="21.75" hidden="false" customHeight="true" outlineLevel="0" collapsed="false"/>
    <row r="74" customFormat="false" ht="21.75" hidden="false" customHeight="true" outlineLevel="0" collapsed="false"/>
    <row r="75" customFormat="false" ht="21.75" hidden="false" customHeight="true" outlineLevel="0" collapsed="false"/>
    <row r="76" customFormat="false" ht="21.75" hidden="false" customHeight="true" outlineLevel="0" collapsed="false"/>
    <row r="77" customFormat="false" ht="21.75" hidden="false" customHeight="true" outlineLevel="0" collapsed="false"/>
    <row r="78" customFormat="false" ht="21.75" hidden="false" customHeight="true" outlineLevel="0" collapsed="false"/>
    <row r="79" customFormat="false" ht="21.75" hidden="false" customHeight="true" outlineLevel="0" collapsed="false"/>
    <row r="80" customFormat="false" ht="21.75" hidden="false" customHeight="true" outlineLevel="0" collapsed="false"/>
    <row r="81" customFormat="false" ht="21.75" hidden="false" customHeight="true" outlineLevel="0" collapsed="false"/>
    <row r="82" customFormat="false" ht="21.75" hidden="false" customHeight="true" outlineLevel="0" collapsed="false"/>
    <row r="83" customFormat="false" ht="21.75" hidden="false" customHeight="true" outlineLevel="0" collapsed="false"/>
    <row r="84" customFormat="false" ht="21.75" hidden="false" customHeight="true" outlineLevel="0" collapsed="false"/>
    <row r="85" customFormat="false" ht="21.75" hidden="false" customHeight="true" outlineLevel="0" collapsed="false"/>
    <row r="86" customFormat="false" ht="21.75" hidden="false" customHeight="true" outlineLevel="0" collapsed="false"/>
    <row r="87" customFormat="false" ht="21.75" hidden="false" customHeight="true" outlineLevel="0" collapsed="false"/>
    <row r="88" customFormat="false" ht="21.75" hidden="false" customHeight="true" outlineLevel="0" collapsed="false"/>
    <row r="89" customFormat="false" ht="21.75" hidden="false" customHeight="true" outlineLevel="0" collapsed="false"/>
    <row r="90" customFormat="false" ht="21.75" hidden="false" customHeight="true" outlineLevel="0" collapsed="false"/>
    <row r="91" customFormat="false" ht="21.75" hidden="false" customHeight="true" outlineLevel="0" collapsed="false"/>
    <row r="92" customFormat="false" ht="21.75" hidden="false" customHeight="true" outlineLevel="0" collapsed="false"/>
    <row r="93" customFormat="false" ht="21.75" hidden="false" customHeight="true" outlineLevel="0" collapsed="false"/>
    <row r="94" customFormat="false" ht="21.75" hidden="false" customHeight="true" outlineLevel="0" collapsed="false"/>
    <row r="95" customFormat="false" ht="21.75" hidden="false" customHeight="true" outlineLevel="0" collapsed="false"/>
    <row r="96" customFormat="false" ht="21.75" hidden="false" customHeight="true" outlineLevel="0" collapsed="false"/>
    <row r="97" customFormat="false" ht="21.75" hidden="false" customHeight="true" outlineLevel="0" collapsed="false"/>
    <row r="98" customFormat="false" ht="21.75" hidden="false" customHeight="true" outlineLevel="0" collapsed="false"/>
    <row r="99" customFormat="false" ht="21.75" hidden="false" customHeight="true" outlineLevel="0" collapsed="false"/>
    <row r="100" customFormat="false" ht="21.75" hidden="false" customHeight="true" outlineLevel="0" collapsed="false"/>
    <row r="101" customFormat="false" ht="21.75" hidden="false" customHeight="true" outlineLevel="0" collapsed="false"/>
    <row r="102" customFormat="false" ht="21.75" hidden="false" customHeight="true" outlineLevel="0" collapsed="false"/>
    <row r="103" customFormat="false" ht="21.75" hidden="false" customHeight="true" outlineLevel="0" collapsed="false"/>
    <row r="104" customFormat="false" ht="21.75" hidden="false" customHeight="true" outlineLevel="0" collapsed="false"/>
    <row r="105" customFormat="false" ht="21.75" hidden="false" customHeight="true" outlineLevel="0" collapsed="false"/>
    <row r="106" customFormat="false" ht="21.75" hidden="false" customHeight="true" outlineLevel="0" collapsed="false"/>
    <row r="107" customFormat="false" ht="21.75" hidden="false" customHeight="true" outlineLevel="0" collapsed="false"/>
    <row r="108" customFormat="false" ht="21.75" hidden="false" customHeight="true" outlineLevel="0" collapsed="false"/>
    <row r="109" customFormat="false" ht="21.75" hidden="false" customHeight="true" outlineLevel="0" collapsed="false"/>
    <row r="110" customFormat="false" ht="21.75" hidden="false" customHeight="true" outlineLevel="0" collapsed="false"/>
    <row r="111" customFormat="false" ht="21.75" hidden="false" customHeight="true" outlineLevel="0" collapsed="false"/>
    <row r="112" customFormat="false" ht="21.75" hidden="false" customHeight="true" outlineLevel="0" collapsed="false"/>
    <row r="113" customFormat="false" ht="21.75" hidden="false" customHeight="true" outlineLevel="0" collapsed="false"/>
    <row r="114" customFormat="false" ht="21.75" hidden="false" customHeight="true" outlineLevel="0" collapsed="false"/>
    <row r="115" customFormat="false" ht="21.75" hidden="false" customHeight="true" outlineLevel="0" collapsed="false"/>
    <row r="116" customFormat="false" ht="21.75" hidden="false" customHeight="true" outlineLevel="0" collapsed="false"/>
    <row r="117" customFormat="false" ht="21.75" hidden="false" customHeight="true" outlineLevel="0" collapsed="false"/>
    <row r="118" customFormat="false" ht="21.75" hidden="false" customHeight="true" outlineLevel="0" collapsed="false"/>
    <row r="119" customFormat="false" ht="21.75" hidden="false" customHeight="true" outlineLevel="0" collapsed="false"/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2026-05-14T15:30:35Z</dcterms:created>
  <dc:creator>openpyxl</dc:creator>
  <dc:description/>
  <dc:language>it-IT</dc:language>
  <cp:lastModifiedBy/>
  <dcterms:modified xsi:type="dcterms:W3CDTF">2026-05-14T15:30:35Z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