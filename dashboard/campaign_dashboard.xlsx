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ource Data" sheetId="2" state="visible" r:id="rId2"/>
    <sheet name="Weekly Trend" sheetId="3" state="visible" r:id="rId3"/>
    <sheet name="Channel Analysis" sheetId="4" state="visible" r:id="rId4"/>
    <sheet name="Landing Pages" sheetId="5" state="visible" r:id="rId5"/>
    <sheet name="Assumptions" sheetId="6" state="visible" r:id="rId6"/>
  </sheets>
  <definedNames>
    <definedName name="_xlnm.Print_Area" localSheetId="0">'Dashboard'!$A$1:$J$36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EUR #,##0.00"/>
    <numFmt numFmtId="165" formatCode="0.0%"/>
    <numFmt numFmtId="166" formatCode="EUR #,##0"/>
  </numFmts>
  <fonts count="12">
    <font>
      <name val="Calibri"/>
      <family val="2"/>
      <color theme="1"/>
      <sz val="11"/>
      <scheme val="minor"/>
    </font>
    <font>
      <name val="Segoe UI Semibold"/>
      <b val="1"/>
      <color rgb="0020242E"/>
      <sz val="9"/>
    </font>
    <font>
      <name val="Segoe UI"/>
      <color rgb="0020242E"/>
      <sz val="9"/>
    </font>
    <font>
      <name val="Segoe UI Semibold"/>
      <b val="1"/>
      <color rgb="00FFFFFF"/>
      <sz val="22"/>
    </font>
    <font>
      <name val="Segoe UI"/>
      <color rgb="00DDECF1"/>
      <sz val="10"/>
    </font>
    <font>
      <name val="Segoe UI Semibold"/>
      <b val="1"/>
      <color rgb="0020242E"/>
      <sz val="14"/>
    </font>
    <font>
      <name val="Segoe UI Semibold"/>
      <b val="1"/>
      <color rgb="00237A57"/>
      <sz val="9"/>
    </font>
    <font>
      <name val="Segoe UI Semibold"/>
      <b val="1"/>
      <color rgb="000F766E"/>
      <sz val="9"/>
    </font>
    <font>
      <name val="Segoe UI Semibold"/>
      <b val="1"/>
      <color rgb="00B56B17"/>
      <sz val="9"/>
    </font>
    <font>
      <name val="Segoe UI"/>
      <color rgb="00657184"/>
      <sz val="9"/>
    </font>
    <font>
      <name val="Segoe UI Semibold"/>
      <b val="1"/>
      <color rgb="0020242E"/>
      <sz val="18"/>
    </font>
    <font>
      <name val="Segoe UI Semibold"/>
      <b val="1"/>
      <color rgb="0020242E"/>
      <sz val="12"/>
    </font>
  </fonts>
  <fills count="11">
    <fill>
      <patternFill/>
    </fill>
    <fill>
      <patternFill patternType="gray125"/>
    </fill>
    <fill>
      <patternFill patternType="solid">
        <fgColor rgb="00EAF1F5"/>
      </patternFill>
    </fill>
    <fill>
      <patternFill patternType="solid">
        <fgColor rgb="00FAFCFD"/>
      </patternFill>
    </fill>
    <fill>
      <patternFill patternType="solid">
        <fgColor rgb="00FFFFFF"/>
      </patternFill>
    </fill>
    <fill>
      <patternFill patternType="solid">
        <fgColor rgb="0020242E"/>
      </patternFill>
    </fill>
    <fill>
      <patternFill patternType="solid">
        <fgColor rgb="000F766E"/>
      </patternFill>
    </fill>
    <fill>
      <patternFill patternType="solid">
        <fgColor rgb="00E1F2E8"/>
      </patternFill>
    </fill>
    <fill>
      <patternFill patternType="solid">
        <fgColor rgb="00E7F3F6"/>
      </patternFill>
    </fill>
    <fill>
      <patternFill patternType="solid">
        <fgColor rgb="00FFF0DA"/>
      </patternFill>
    </fill>
    <fill>
      <patternFill patternType="solid">
        <fgColor rgb="00F4F6F8"/>
      </patternFill>
    </fill>
  </fills>
  <borders count="6">
    <border>
      <left/>
      <right/>
      <top/>
      <bottom/>
      <diagonal/>
    </border>
    <border>
      <bottom style="thin">
        <color rgb="00D8DEE8"/>
      </bottom>
    </border>
    <border>
      <bottom style="thin">
        <color rgb="00E5EBF0"/>
      </bottom>
    </border>
    <border>
      <left style="thin">
        <color rgb="00D8DEE8"/>
      </left>
      <right style="thin">
        <color rgb="00D8DEE8"/>
      </right>
      <top style="thin">
        <color rgb="00D8DEE8"/>
      </top>
    </border>
    <border>
      <left style="thin">
        <color rgb="00D8DEE8"/>
      </left>
      <right style="thin">
        <color rgb="00D8DEE8"/>
      </right>
    </border>
    <border>
      <left style="thin">
        <color rgb="00D8DEE8"/>
      </left>
      <right style="thin">
        <color rgb="00D8DEE8"/>
      </right>
      <bottom style="thin">
        <color rgb="00D8DEE8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3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0" fillId="6" borderId="0" applyAlignment="1" pivotButton="0" quotePrefix="0" xfId="0">
      <alignment vertical="center"/>
    </xf>
    <xf numFmtId="0" fontId="9" fillId="4" borderId="3" applyAlignment="1" pivotButton="0" quotePrefix="0" xfId="0">
      <alignment horizontal="left" vertical="center"/>
    </xf>
    <xf numFmtId="49" fontId="10" fillId="4" borderId="4" applyAlignment="1" pivotButton="0" quotePrefix="0" xfId="0">
      <alignment horizontal="left" vertical="center"/>
    </xf>
    <xf numFmtId="0" fontId="10" fillId="4" borderId="4" applyAlignment="1" pivotButton="0" quotePrefix="0" xfId="0">
      <alignment horizontal="left" vertical="center"/>
    </xf>
    <xf numFmtId="0" fontId="9" fillId="4" borderId="5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11" fillId="2" borderId="1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11" fillId="2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2" fillId="4" borderId="2" applyAlignment="1" pivotButton="0" quotePrefix="0" xfId="0">
      <alignment vertical="center" wrapText="1"/>
    </xf>
    <xf numFmtId="0" fontId="2" fillId="3" borderId="2" applyAlignment="1" pivotButton="0" quotePrefix="0" xfId="0">
      <alignment vertical="center" wrapText="1"/>
    </xf>
    <xf numFmtId="0" fontId="9" fillId="10" borderId="0" applyAlignment="1" pivotButton="0" quotePrefix="0" xfId="0">
      <alignment horizontal="left" vertical="center"/>
    </xf>
    <xf numFmtId="3" fontId="2" fillId="3" borderId="2" applyAlignment="1" pivotButton="0" quotePrefix="0" xfId="0">
      <alignment vertical="center" wrapText="1"/>
    </xf>
    <xf numFmtId="164" fontId="2" fillId="3" borderId="2" applyAlignment="1" pivotButton="0" quotePrefix="0" xfId="0">
      <alignment vertical="center" wrapText="1"/>
    </xf>
    <xf numFmtId="165" fontId="2" fillId="3" borderId="2" applyAlignment="1" pivotButton="0" quotePrefix="0" xfId="0">
      <alignment vertical="center" wrapText="1"/>
    </xf>
    <xf numFmtId="3" fontId="2" fillId="4" borderId="2" applyAlignment="1" pivotButton="0" quotePrefix="0" xfId="0">
      <alignment vertical="center" wrapText="1"/>
    </xf>
    <xf numFmtId="164" fontId="2" fillId="4" borderId="2" applyAlignment="1" pivotButton="0" quotePrefix="0" xfId="0">
      <alignment vertical="center" wrapText="1"/>
    </xf>
    <xf numFmtId="165" fontId="2" fillId="4" borderId="2" applyAlignment="1" pivotButton="0" quotePrefix="0" xfId="0">
      <alignment vertical="center" wrapText="1"/>
    </xf>
    <xf numFmtId="166" fontId="2" fillId="4" borderId="2" applyAlignment="1" pivotButton="0" quotePrefix="0" xfId="0">
      <alignment vertical="center" wrapText="1"/>
    </xf>
    <xf numFmtId="2" fontId="2" fillId="4" borderId="2" applyAlignment="1" pivotButton="0" quotePrefix="0" xfId="0">
      <alignment vertical="center" wrapText="1"/>
    </xf>
    <xf numFmtId="166" fontId="2" fillId="3" borderId="2" applyAlignment="1" pivotButton="0" quotePrefix="0" xfId="0">
      <alignment vertical="center" wrapText="1"/>
    </xf>
    <xf numFmtId="2" fontId="2" fillId="3" borderId="2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6" fillId="7" borderId="2" applyAlignment="1" pivotButton="0" quotePrefix="0" xfId="0">
      <alignment vertical="center" wrapText="1"/>
    </xf>
    <xf numFmtId="0" fontId="7" fillId="8" borderId="2" applyAlignment="1" pivotButton="0" quotePrefix="0" xfId="0">
      <alignment vertical="center" wrapText="1"/>
    </xf>
    <xf numFmtId="0" fontId="8" fillId="9" borderId="2" applyAlignment="1" pivotButton="0" quotePrefix="0" xfId="0">
      <alignment vertical="center" wrapText="1"/>
    </xf>
  </cellXfs>
  <cellStyles count="1">
    <cellStyle name="Normal" xfId="0" builtinId="0" hidden="0"/>
  </cellStyles>
  <dxfs count="3">
    <dxf>
      <font>
        <b val="1"/>
        <color rgb="00237A57"/>
      </font>
      <fill>
        <patternFill patternType="solid">
          <fgColor rgb="00E1F2E8"/>
        </patternFill>
      </fill>
    </dxf>
    <dxf>
      <font>
        <b val="1"/>
        <color rgb="000F766E"/>
      </font>
      <fill>
        <patternFill patternType="solid">
          <fgColor rgb="00E7F3F6"/>
        </patternFill>
      </fill>
    </dxf>
    <dxf>
      <font>
        <b val="1"/>
        <color rgb="00B56B17"/>
      </font>
      <fill>
        <patternFill patternType="solid">
          <fgColor rgb="00FFF0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Weekly conversions</a:t>
            </a:r>
          </a:p>
        </rich>
      </tx>
    </title>
    <plotArea>
      <lineChart>
        <grouping val="standard"/>
        <ser>
          <idx val="0"/>
          <order val="0"/>
          <tx>
            <strRef>
              <f>'Weekly Trend'!E4</f>
            </strRef>
          </tx>
          <spPr>
            <a:ln>
              <a:solidFill>
                <a:srgbClr val="0F766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Trend'!$A$5:$A$10</f>
            </numRef>
          </cat>
          <val>
            <numRef>
              <f>'Weekly Trend'!$E$5:$E$10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Conversions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ROAS by channel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'Channel Analysis'!I4</f>
            </strRef>
          </tx>
          <spPr>
            <a:solidFill>
              <a:srgbClr val="237A57"/>
            </a:solidFill>
            <a:ln>
              <a:prstDash val="solid"/>
            </a:ln>
          </spPr>
          <cat>
            <numRef>
              <f>'Channel Analysis'!$A$5:$A$8</f>
            </numRef>
          </cat>
          <val>
            <numRef>
              <f>'Channel Analysis'!$I$5:$I$8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ROAS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Channel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Landing page conversion rate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'Landing Pages'!H4</f>
            </strRef>
          </tx>
          <spPr>
            <a:solidFill>
              <a:srgbClr val="0F766E"/>
            </a:solidFill>
            <a:ln>
              <a:prstDash val="solid"/>
            </a:ln>
          </spPr>
          <cat>
            <numRef>
              <f>'Landing Pages'!$A$5:$A$12</f>
            </numRef>
          </cat>
          <val>
            <numRef>
              <f>'Landing Pages'!$H$5:$H$12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Conversion rate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4968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9</row>
      <rowOff>0</rowOff>
    </from>
    <ext cx="2808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24</row>
      <rowOff>0</rowOff>
    </from>
    <ext cx="3096000" cy="244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mpaignData" displayName="CampaignData" ref="A1:P49" headerRowCount="1">
  <autoFilter ref="A1:P49"/>
  <tableColumns count="16">
    <tableColumn id="1" name="date"/>
    <tableColumn id="2" name="channel"/>
    <tableColumn id="3" name="campaign"/>
    <tableColumn id="4" name="audience_segment"/>
    <tableColumn id="5" name="device"/>
    <tableColumn id="6" name="landing_page"/>
    <tableColumn id="7" name="impressions"/>
    <tableColumn id="8" name="clicks"/>
    <tableColumn id="9" name="cost_eur"/>
    <tableColumn id="10" name="conversions"/>
    <tableColumn id="11" name="revenue_eur"/>
    <tableColumn id="12" name="ctr"/>
    <tableColumn id="13" name="cpc"/>
    <tableColumn id="14" name="conversion_rate"/>
    <tableColumn id="15" name="cpa"/>
    <tableColumn id="16" name="roa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eeklyTrend" displayName="WeeklyTrend" ref="A4:J10" headerRowCount="1">
  <autoFilter ref="A4:J10"/>
  <tableColumns count="10">
    <tableColumn id="1" name="Week"/>
    <tableColumn id="2" name="Impressions"/>
    <tableColumn id="3" name="Clicks"/>
    <tableColumn id="4" name="Cost"/>
    <tableColumn id="5" name="Conversions"/>
    <tableColumn id="6" name="Revenue"/>
    <tableColumn id="7" name="CTR"/>
    <tableColumn id="8" name="CPA"/>
    <tableColumn id="9" name="ROAS"/>
    <tableColumn id="10" name="WoW Conv.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hannelAnalysis" displayName="ChannelAnalysis" ref="A4:K8" headerRowCount="1">
  <autoFilter ref="A4:K8"/>
  <tableColumns count="11">
    <tableColumn id="1" name="Channel"/>
    <tableColumn id="2" name="Impressions"/>
    <tableColumn id="3" name="Clicks"/>
    <tableColumn id="4" name="Cost"/>
    <tableColumn id="5" name="Conversions"/>
    <tableColumn id="6" name="Revenue"/>
    <tableColumn id="7" name="CTR"/>
    <tableColumn id="8" name="CPA"/>
    <tableColumn id="9" name="ROAS"/>
    <tableColumn id="10" name="Budget Signal"/>
    <tableColumn id="11" name="Readou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LandingActionTable" displayName="LandingActionTable" ref="A4:K12" headerRowCount="1">
  <autoFilter ref="A4:K12"/>
  <tableColumns count="11">
    <tableColumn id="1" name="Landing Page"/>
    <tableColumn id="2" name="Device"/>
    <tableColumn id="3" name="Sessions"/>
    <tableColumn id="4" name="Bounce Rate"/>
    <tableColumn id="5" name="Avg. Duration"/>
    <tableColumn id="6" name="Conversions"/>
    <tableColumn id="7" name="Revenue"/>
    <tableColumn id="8" name="Conv. Rate"/>
    <tableColumn id="9" name="Primary Issue"/>
    <tableColumn id="10" name="Recommendation"/>
    <tableColumn id="11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22"/>
  <cols>
    <col width="16" customWidth="1" min="1" max="1"/>
    <col width="14" customWidth="1" min="2" max="2"/>
    <col width="15" customWidth="1" min="3" max="3"/>
    <col width="17" customWidth="1" min="4" max="4"/>
    <col width="14" customWidth="1" min="5" max="5"/>
    <col width="15" customWidth="1" min="6" max="6"/>
    <col width="13" customWidth="1" min="7" max="7"/>
    <col width="13" customWidth="1" min="8" max="8"/>
    <col width="18" customWidth="1" min="9" max="9"/>
    <col width="18" customWidth="1" min="10" max="10"/>
  </cols>
  <sheetData>
    <row r="1" ht="34" customHeight="1">
      <c r="A1" s="1" t="inlineStr">
        <is>
          <t>Campaign Performance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4" customHeight="1">
      <c r="A2" s="2" t="inlineStr">
        <is>
          <t>Decision handoff from simulated campaign data | 2026-04-06 to 2026-05-11 | channel economics, landing page actions and experiment signal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 ht="23" customHeight="1">
      <c r="A4" s="4" t="inlineStr">
        <is>
          <t>Spend</t>
        </is>
      </c>
      <c r="B4" s="4" t="n"/>
      <c r="C4" s="4" t="inlineStr">
        <is>
          <t>Revenue</t>
        </is>
      </c>
      <c r="D4" s="4" t="n"/>
      <c r="E4" s="4" t="inlineStr">
        <is>
          <t>Conversions</t>
        </is>
      </c>
      <c r="F4" s="4" t="n"/>
      <c r="G4" s="4" t="inlineStr">
        <is>
          <t>ROAS</t>
        </is>
      </c>
      <c r="H4" s="4" t="n"/>
      <c r="I4" s="4" t="inlineStr">
        <is>
          <t>CPA</t>
        </is>
      </c>
      <c r="J4" s="4" t="n"/>
    </row>
    <row r="5" ht="23" customHeight="1">
      <c r="A5" s="5">
        <f>"EUR "&amp;FIXED(SUM('Source Data'!I2:I49),0)</f>
        <v/>
      </c>
      <c r="B5" s="6" t="n"/>
      <c r="C5" s="5">
        <f>"EUR "&amp;FIXED(SUM('Source Data'!K2:K49),0)</f>
        <v/>
      </c>
      <c r="D5" s="6" t="n"/>
      <c r="E5" s="5">
        <f>TEXT(SUM('Source Data'!J2:J49),"#,##0")</f>
        <v/>
      </c>
      <c r="F5" s="6" t="n"/>
      <c r="G5" s="5">
        <f>TEXT(IF(SUM('Source Data'!I2:I49)=0,0,SUM('Source Data'!K2:K49)/SUM('Source Data'!I2:I49)),"0.00")</f>
        <v/>
      </c>
      <c r="H5" s="6" t="n"/>
      <c r="I5" s="5">
        <f>"EUR "&amp;FIXED(IF(SUM('Source Data'!J2:J49)=0,0,SUM('Source Data'!I2:I49)/SUM('Source Data'!J2:J49)),2)</f>
        <v/>
      </c>
      <c r="J5" s="6" t="n"/>
    </row>
    <row r="6" ht="23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 ht="23" customHeight="1">
      <c r="A7" s="7" t="inlineStr">
        <is>
          <t>Working media by week and channel</t>
        </is>
      </c>
      <c r="B7" s="7" t="n"/>
      <c r="C7" s="7" t="inlineStr">
        <is>
          <t>Attributed simulated revenue</t>
        </is>
      </c>
      <c r="D7" s="7" t="n"/>
      <c r="E7" s="7" t="inlineStr">
        <is>
          <t>Six-week outcome volume</t>
        </is>
      </c>
      <c r="F7" s="7" t="n"/>
      <c r="G7" s="7" t="inlineStr">
        <is>
          <t>Against 4.0 planning guardrail</t>
        </is>
      </c>
      <c r="H7" s="7" t="n"/>
      <c r="I7" s="7" t="inlineStr">
        <is>
          <t>Against EUR 18.00 ceiling</t>
        </is>
      </c>
      <c r="J7" s="7" t="n"/>
    </row>
    <row r="8" ht="23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</row>
    <row r="9" ht="22" customHeight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 ht="22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9" t="inlineStr">
        <is>
          <t>Decision Queue</t>
        </is>
      </c>
      <c r="J10" s="9" t="n"/>
    </row>
    <row r="11" ht="22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34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10" t="inlineStr">
        <is>
          <t>Protect</t>
        </is>
      </c>
      <c r="J12" s="11" t="inlineStr">
        <is>
          <t>Retention email and high-intent search are the budget anchors.</t>
        </is>
      </c>
    </row>
    <row r="13" ht="34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12" t="inlineStr">
        <is>
          <t>Diagnose</t>
        </is>
      </c>
      <c r="J13" s="11" t="inlineStr">
        <is>
          <t>Store locator and Display need page-speed and local relevance checks.</t>
        </is>
      </c>
    </row>
    <row r="14" ht="34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13" t="inlineStr">
        <is>
          <t>Separate</t>
        </is>
      </c>
      <c r="J14" s="11" t="inlineStr">
        <is>
          <t>Keep media quality and landing-page friction as separate decision tracks.</t>
        </is>
      </c>
    </row>
    <row r="15" ht="34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13" t="inlineStr">
        <is>
          <t>Experiment</t>
        </is>
      </c>
      <c r="J15" s="11" t="inlineStr">
        <is>
          <t>Use the short-form A/B signal as the next optimization path.</t>
        </is>
      </c>
    </row>
    <row r="16" ht="22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22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22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22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22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22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22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22" customHeight="1">
      <c r="A23" s="14" t="inlineStr">
        <is>
          <t>Landing Page Action Center</t>
        </is>
      </c>
      <c r="B23" s="14" t="n"/>
      <c r="C23" s="14" t="n"/>
      <c r="D23" s="14" t="n"/>
      <c r="E23" s="14" t="n"/>
      <c r="F23" s="8" t="n"/>
      <c r="G23" s="8" t="n"/>
      <c r="H23" s="8" t="n"/>
      <c r="I23" s="8" t="n"/>
      <c r="J23" s="8" t="n"/>
    </row>
    <row r="24" ht="22" customHeight="1">
      <c r="A24" s="15" t="inlineStr">
        <is>
          <t>Page</t>
        </is>
      </c>
      <c r="B24" s="15" t="inlineStr">
        <is>
          <t>Device</t>
        </is>
      </c>
      <c r="C24" s="15" t="inlineStr">
        <is>
          <t>Issue</t>
        </is>
      </c>
      <c r="D24" s="15" t="inlineStr">
        <is>
          <t>Move</t>
        </is>
      </c>
      <c r="E24" s="15" t="inlineStr">
        <is>
          <t>Status</t>
        </is>
      </c>
      <c r="F24" s="8" t="n"/>
      <c r="G24" s="8" t="n"/>
      <c r="H24" s="8" t="n"/>
      <c r="I24" s="8" t="n"/>
      <c r="J24" s="8" t="n"/>
    </row>
    <row r="25" ht="39" customHeight="1">
      <c r="A25" s="16" t="inlineStr">
        <is>
          <t>/service-booking</t>
        </is>
      </c>
      <c r="B25" s="16" t="inlineStr">
        <is>
          <t>Mobile</t>
        </is>
      </c>
      <c r="C25" s="16" t="inlineStr">
        <is>
          <t>Strong conversion, low CPC</t>
        </is>
      </c>
      <c r="D25" s="16" t="inlineStr">
        <is>
          <t>Protect email list quality and test SMS reminder</t>
        </is>
      </c>
      <c r="E25" s="16" t="inlineStr">
        <is>
          <t>Protect</t>
        </is>
      </c>
      <c r="F25" s="8" t="n"/>
      <c r="G25" s="8" t="n"/>
      <c r="H25" s="8" t="n"/>
      <c r="I25" s="8" t="n"/>
      <c r="J25" s="8" t="n"/>
    </row>
    <row r="26" ht="39" customHeight="1">
      <c r="A26" s="17" t="inlineStr">
        <is>
          <t>/service-booking</t>
        </is>
      </c>
      <c r="B26" s="17" t="inlineStr">
        <is>
          <t>Desktop</t>
        </is>
      </c>
      <c r="C26" s="17" t="inlineStr">
        <is>
          <t>Strong conversion, low CPC</t>
        </is>
      </c>
      <c r="D26" s="17" t="inlineStr">
        <is>
          <t>Protect email list quality and test SMS reminder</t>
        </is>
      </c>
      <c r="E26" s="17" t="inlineStr">
        <is>
          <t>Protect</t>
        </is>
      </c>
      <c r="F26" s="8" t="n"/>
      <c r="G26" s="8" t="n"/>
      <c r="H26" s="8" t="n"/>
      <c r="I26" s="8" t="n"/>
      <c r="J26" s="8" t="n"/>
    </row>
    <row r="27" ht="39" customHeight="1">
      <c r="A27" s="16" t="inlineStr">
        <is>
          <t>/promo</t>
        </is>
      </c>
      <c r="B27" s="16" t="inlineStr">
        <is>
          <t>Desktop</t>
        </is>
      </c>
      <c r="C27" s="16" t="inlineStr">
        <is>
          <t>Good traffic, slightly weaker checkout completion</t>
        </is>
      </c>
      <c r="D27" s="16" t="inlineStr">
        <is>
          <t>Keep budget stable and test shorter mobile form</t>
        </is>
      </c>
      <c r="E27" s="16" t="inlineStr">
        <is>
          <t>Optimize</t>
        </is>
      </c>
      <c r="F27" s="8" t="n"/>
      <c r="G27" s="8" t="n"/>
      <c r="H27" s="8" t="n"/>
      <c r="I27" s="8" t="n"/>
      <c r="J27" s="8" t="n"/>
    </row>
    <row r="28" ht="39" customHeight="1">
      <c r="A28" s="17" t="inlineStr">
        <is>
          <t>/promo</t>
        </is>
      </c>
      <c r="B28" s="17" t="inlineStr">
        <is>
          <t>Mobile</t>
        </is>
      </c>
      <c r="C28" s="17" t="inlineStr">
        <is>
          <t>Good traffic, slightly weaker checkout completion</t>
        </is>
      </c>
      <c r="D28" s="17" t="inlineStr">
        <is>
          <t>Keep budget stable and test shorter mobile form</t>
        </is>
      </c>
      <c r="E28" s="17" t="inlineStr">
        <is>
          <t>Optimize</t>
        </is>
      </c>
      <c r="F28" s="8" t="n"/>
      <c r="G28" s="8" t="n"/>
      <c r="H28" s="8" t="n"/>
      <c r="I28" s="8" t="n"/>
      <c r="J28" s="8" t="n"/>
    </row>
    <row r="29" ht="39" customHeight="1">
      <c r="A29" s="16" t="inlineStr">
        <is>
          <t>/collection</t>
        </is>
      </c>
      <c r="B29" s="16" t="inlineStr">
        <is>
          <t>Mobile</t>
        </is>
      </c>
      <c r="C29" s="16" t="inlineStr">
        <is>
          <t>Awareness traffic converts below search and email</t>
        </is>
      </c>
      <c r="D29" s="16" t="inlineStr">
        <is>
          <t>Tighten audience and add product proof above the fold</t>
        </is>
      </c>
      <c r="E29" s="16" t="inlineStr">
        <is>
          <t>Fix page</t>
        </is>
      </c>
      <c r="F29" s="8" t="n"/>
      <c r="G29" s="8" t="n"/>
      <c r="H29" s="8" t="n"/>
      <c r="I29" s="8" t="n"/>
      <c r="J29" s="8" t="n"/>
    </row>
    <row r="30" ht="39" customHeight="1">
      <c r="A30" s="17" t="inlineStr">
        <is>
          <t>/store-locator</t>
        </is>
      </c>
      <c r="B30" s="17" t="inlineStr">
        <is>
          <t>Desktop</t>
        </is>
      </c>
      <c r="C30" s="17" t="inlineStr">
        <is>
          <t>High bounce and low CTR</t>
        </is>
      </c>
      <c r="D30" s="17" t="inlineStr">
        <is>
          <t>Improve local relevance and page speed on mobile</t>
        </is>
      </c>
      <c r="E30" s="17" t="inlineStr">
        <is>
          <t>Fix page</t>
        </is>
      </c>
      <c r="F30" s="8" t="n"/>
      <c r="G30" s="8" t="n"/>
      <c r="H30" s="8" t="n"/>
      <c r="I30" s="8" t="n"/>
      <c r="J30" s="8" t="n"/>
    </row>
    <row r="31" ht="39" customHeight="1">
      <c r="A31" s="16" t="inlineStr">
        <is>
          <t>/collection</t>
        </is>
      </c>
      <c r="B31" s="16" t="inlineStr">
        <is>
          <t>Desktop</t>
        </is>
      </c>
      <c r="C31" s="16" t="inlineStr">
        <is>
          <t>Awareness traffic converts below search and email</t>
        </is>
      </c>
      <c r="D31" s="16" t="inlineStr">
        <is>
          <t>Tighten audience and add product proof above the fold</t>
        </is>
      </c>
      <c r="E31" s="16" t="inlineStr">
        <is>
          <t>Optimize</t>
        </is>
      </c>
      <c r="F31" s="8" t="n"/>
      <c r="G31" s="8" t="n"/>
      <c r="H31" s="8" t="n"/>
      <c r="I31" s="8" t="n"/>
      <c r="J31" s="8" t="n"/>
    </row>
    <row r="32" ht="39" customHeight="1">
      <c r="A32" s="17" t="inlineStr">
        <is>
          <t>/store-locator</t>
        </is>
      </c>
      <c r="B32" s="17" t="inlineStr">
        <is>
          <t>Mobile</t>
        </is>
      </c>
      <c r="C32" s="17" t="inlineStr">
        <is>
          <t>High bounce and low CTR</t>
        </is>
      </c>
      <c r="D32" s="17" t="inlineStr">
        <is>
          <t>Improve local relevance and page speed on mobile</t>
        </is>
      </c>
      <c r="E32" s="17" t="inlineStr">
        <is>
          <t>Fix page</t>
        </is>
      </c>
      <c r="F32" s="8" t="n"/>
      <c r="G32" s="8" t="n"/>
      <c r="H32" s="8" t="n"/>
      <c r="I32" s="8" t="n"/>
      <c r="J32" s="8" t="n"/>
    </row>
    <row r="33" ht="22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 ht="22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 ht="22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 ht="22" customHeight="1">
      <c r="A36" s="18" t="inlineStr">
        <is>
          <t>Portfolio case study. No real company, client, user, advertising-platform, CRM or analytics account data.</t>
        </is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</row>
    <row r="37" ht="22" customHeight="1"/>
    <row r="38" ht="22" customHeight="1"/>
    <row r="39" ht="22" customHeight="1"/>
    <row r="40" ht="22" customHeight="1"/>
    <row r="41" ht="22" customHeight="1"/>
    <row r="42" ht="22" customHeight="1"/>
    <row r="43" ht="22" customHeight="1"/>
    <row r="44" ht="22" customHeight="1"/>
    <row r="45" ht="22" customHeight="1"/>
    <row r="46" ht="22" customHeight="1"/>
    <row r="47" ht="22" customHeight="1"/>
    <row r="48" ht="22" customHeight="1"/>
    <row r="49" ht="22" customHeight="1"/>
    <row r="50" ht="22" customHeight="1"/>
    <row r="51" ht="22" customHeight="1"/>
    <row r="52" ht="22" customHeight="1"/>
    <row r="53" ht="22" customHeight="1"/>
    <row r="54" ht="22" customHeight="1"/>
    <row r="55" ht="22" customHeight="1"/>
    <row r="56" ht="22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  <row r="80" ht="22" customHeight="1"/>
    <row r="81" ht="22" customHeight="1"/>
    <row r="82" ht="22" customHeight="1"/>
    <row r="83" ht="22" customHeight="1"/>
    <row r="84" ht="22" customHeight="1"/>
    <row r="85" ht="22" customHeight="1"/>
    <row r="86" ht="22" customHeight="1"/>
    <row r="87" ht="22" customHeight="1"/>
    <row r="88" ht="22" customHeight="1"/>
    <row r="89" ht="22" customHeight="1"/>
    <row r="90" ht="22" customHeight="1"/>
    <row r="91" ht="22" customHeight="1"/>
    <row r="92" ht="22" customHeight="1"/>
    <row r="93" ht="22" customHeight="1"/>
    <row r="94" ht="22" customHeight="1"/>
    <row r="95" ht="22" customHeight="1"/>
    <row r="96" ht="22" customHeight="1"/>
    <row r="97" ht="22" customHeight="1"/>
    <row r="98" ht="22" customHeight="1"/>
    <row r="99" ht="22" customHeight="1"/>
    <row r="100" ht="22" customHeight="1"/>
    <row r="101" ht="22" customHeight="1"/>
    <row r="102" ht="22" customHeight="1"/>
    <row r="103" ht="22" customHeight="1"/>
    <row r="104" ht="22" customHeight="1"/>
    <row r="105" ht="22" customHeight="1"/>
    <row r="106" ht="22" customHeight="1"/>
    <row r="107" ht="22" customHeight="1"/>
    <row r="108" ht="22" customHeight="1"/>
    <row r="109" ht="22" customHeight="1"/>
    <row r="110" ht="22" customHeight="1"/>
    <row r="111" ht="22" customHeight="1"/>
    <row r="112" ht="22" customHeight="1"/>
    <row r="113" ht="22" customHeight="1"/>
    <row r="114" ht="22" customHeight="1"/>
    <row r="115" ht="22" customHeight="1"/>
    <row r="116" ht="22" customHeight="1"/>
    <row r="117" ht="22" customHeight="1"/>
    <row r="118" ht="22" customHeight="1"/>
    <row r="119" ht="22" customHeight="1"/>
  </sheetData>
  <mergeCells count="20">
    <mergeCell ref="A5:B6"/>
    <mergeCell ref="G5:H6"/>
    <mergeCell ref="I5:J6"/>
    <mergeCell ref="C4:D4"/>
    <mergeCell ref="E4:F4"/>
    <mergeCell ref="C7:D8"/>
    <mergeCell ref="E7:F8"/>
    <mergeCell ref="A1:J1"/>
    <mergeCell ref="A36:J36"/>
    <mergeCell ref="C5:D6"/>
    <mergeCell ref="E5:F6"/>
    <mergeCell ref="A23:E23"/>
    <mergeCell ref="A4:B4"/>
    <mergeCell ref="G4:H4"/>
    <mergeCell ref="G7:H8"/>
    <mergeCell ref="I4:J4"/>
    <mergeCell ref="I7:J8"/>
    <mergeCell ref="A7:B8"/>
    <mergeCell ref="I10:J10"/>
    <mergeCell ref="A2:J2"/>
  </mergeCells>
  <conditionalFormatting sqref="E25:E32">
    <cfRule type="expression" priority="1" dxfId="0">
      <formula>ISNUMBER(SEARCH("Protect",E25))</formula>
    </cfRule>
    <cfRule type="expression" priority="2" dxfId="1">
      <formula>ISNUMBER(SEARCH("Optimize",E25))</formula>
    </cfRule>
    <cfRule type="expression" priority="3" dxfId="2">
      <formula>ISNUMBER(SEARCH("Fix page",E25))</formula>
    </cfRule>
  </conditionalFormatting>
  <pageMargins left="0.2" right="0.2" top="0.25" bottom="0.25" header="0.1" footer="0.1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22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22" customHeight="1">
      <c r="A1" s="15" t="inlineStr">
        <is>
          <t>date</t>
        </is>
      </c>
      <c r="B1" s="15" t="inlineStr">
        <is>
          <t>channel</t>
        </is>
      </c>
      <c r="C1" s="15" t="inlineStr">
        <is>
          <t>campaign</t>
        </is>
      </c>
      <c r="D1" s="15" t="inlineStr">
        <is>
          <t>audience_segment</t>
        </is>
      </c>
      <c r="E1" s="15" t="inlineStr">
        <is>
          <t>device</t>
        </is>
      </c>
      <c r="F1" s="15" t="inlineStr">
        <is>
          <t>landing_page</t>
        </is>
      </c>
      <c r="G1" s="15" t="inlineStr">
        <is>
          <t>impressions</t>
        </is>
      </c>
      <c r="H1" s="15" t="inlineStr">
        <is>
          <t>clicks</t>
        </is>
      </c>
      <c r="I1" s="15" t="inlineStr">
        <is>
          <t>cost_eur</t>
        </is>
      </c>
      <c r="J1" s="15" t="inlineStr">
        <is>
          <t>conversions</t>
        </is>
      </c>
      <c r="K1" s="15" t="inlineStr">
        <is>
          <t>revenue_eur</t>
        </is>
      </c>
      <c r="L1" s="15" t="inlineStr">
        <is>
          <t>ctr</t>
        </is>
      </c>
      <c r="M1" s="15" t="inlineStr">
        <is>
          <t>cpc</t>
        </is>
      </c>
      <c r="N1" s="15" t="inlineStr">
        <is>
          <t>conversion_rate</t>
        </is>
      </c>
      <c r="O1" s="15" t="inlineStr">
        <is>
          <t>cpa</t>
        </is>
      </c>
      <c r="P1" s="15" t="inlineStr">
        <is>
          <t>roas</t>
        </is>
      </c>
    </row>
    <row r="2" ht="22" customHeight="1">
      <c r="A2" s="17" t="inlineStr">
        <is>
          <t>2026-04-06</t>
        </is>
      </c>
      <c r="B2" s="17" t="inlineStr">
        <is>
          <t>Paid Search</t>
        </is>
      </c>
      <c r="C2" s="17" t="inlineStr">
        <is>
          <t>Spring Promo</t>
        </is>
      </c>
      <c r="D2" s="17" t="inlineStr">
        <is>
          <t>High-intent prospects</t>
        </is>
      </c>
      <c r="E2" s="17" t="inlineStr">
        <is>
          <t>Mobile</t>
        </is>
      </c>
      <c r="F2" s="17" t="inlineStr">
        <is>
          <t>/promo</t>
        </is>
      </c>
      <c r="G2" s="19" t="n">
        <v>18796</v>
      </c>
      <c r="H2" s="19" t="n">
        <v>966</v>
      </c>
      <c r="I2" s="20" t="n">
        <v>1292.63</v>
      </c>
      <c r="J2" s="19" t="n">
        <v>82</v>
      </c>
      <c r="K2" s="20" t="n">
        <v>7821.92</v>
      </c>
      <c r="L2" s="21" t="n">
        <v>0.0514</v>
      </c>
      <c r="M2" s="20" t="n">
        <v>1.34</v>
      </c>
      <c r="N2" s="21" t="n">
        <v>0.0849</v>
      </c>
      <c r="O2" s="20" t="n">
        <v>15.76</v>
      </c>
      <c r="P2" s="21" t="n">
        <v>6.05</v>
      </c>
    </row>
    <row r="3" ht="22" customHeight="1">
      <c r="A3" s="16" t="inlineStr">
        <is>
          <t>2026-04-06</t>
        </is>
      </c>
      <c r="B3" s="16" t="inlineStr">
        <is>
          <t>Paid Search</t>
        </is>
      </c>
      <c r="C3" s="16" t="inlineStr">
        <is>
          <t>Spring Promo</t>
        </is>
      </c>
      <c r="D3" s="16" t="inlineStr">
        <is>
          <t>High-intent prospects</t>
        </is>
      </c>
      <c r="E3" s="16" t="inlineStr">
        <is>
          <t>Desktop</t>
        </is>
      </c>
      <c r="F3" s="16" t="inlineStr">
        <is>
          <t>/promo</t>
        </is>
      </c>
      <c r="G3" s="22" t="n">
        <v>17006</v>
      </c>
      <c r="H3" s="22" t="n">
        <v>826</v>
      </c>
      <c r="I3" s="23" t="n">
        <v>1094.32</v>
      </c>
      <c r="J3" s="22" t="n">
        <v>74</v>
      </c>
      <c r="K3" s="23" t="n">
        <v>6396.3</v>
      </c>
      <c r="L3" s="24" t="n">
        <v>0.0486</v>
      </c>
      <c r="M3" s="23" t="n">
        <v>1.32</v>
      </c>
      <c r="N3" s="24" t="n">
        <v>0.0896</v>
      </c>
      <c r="O3" s="23" t="n">
        <v>14.79</v>
      </c>
      <c r="P3" s="24" t="n">
        <v>5.84</v>
      </c>
    </row>
    <row r="4" ht="22" customHeight="1">
      <c r="A4" s="17" t="inlineStr">
        <is>
          <t>2026-04-06</t>
        </is>
      </c>
      <c r="B4" s="17" t="inlineStr">
        <is>
          <t>Paid Social</t>
        </is>
      </c>
      <c r="C4" s="17" t="inlineStr">
        <is>
          <t>New Collection Awareness</t>
        </is>
      </c>
      <c r="D4" s="17" t="inlineStr">
        <is>
          <t>Lookalike audience</t>
        </is>
      </c>
      <c r="E4" s="17" t="inlineStr">
        <is>
          <t>Mobile</t>
        </is>
      </c>
      <c r="F4" s="17" t="inlineStr">
        <is>
          <t>/collection</t>
        </is>
      </c>
      <c r="G4" s="19" t="n">
        <v>28185</v>
      </c>
      <c r="H4" s="19" t="n">
        <v>857</v>
      </c>
      <c r="I4" s="20" t="n">
        <v>980.01</v>
      </c>
      <c r="J4" s="19" t="n">
        <v>42</v>
      </c>
      <c r="K4" s="20" t="n">
        <v>3244.72</v>
      </c>
      <c r="L4" s="21" t="n">
        <v>0.0304</v>
      </c>
      <c r="M4" s="20" t="n">
        <v>1.14</v>
      </c>
      <c r="N4" s="21" t="n">
        <v>0.049</v>
      </c>
      <c r="O4" s="20" t="n">
        <v>23.33</v>
      </c>
      <c r="P4" s="21" t="n">
        <v>3.31</v>
      </c>
    </row>
    <row r="5" ht="22" customHeight="1">
      <c r="A5" s="16" t="inlineStr">
        <is>
          <t>2026-04-06</t>
        </is>
      </c>
      <c r="B5" s="16" t="inlineStr">
        <is>
          <t>Paid Social</t>
        </is>
      </c>
      <c r="C5" s="16" t="inlineStr">
        <is>
          <t>New Collection Awareness</t>
        </is>
      </c>
      <c r="D5" s="16" t="inlineStr">
        <is>
          <t>Lookalike audience</t>
        </is>
      </c>
      <c r="E5" s="16" t="inlineStr">
        <is>
          <t>Desktop</t>
        </is>
      </c>
      <c r="F5" s="16" t="inlineStr">
        <is>
          <t>/collection</t>
        </is>
      </c>
      <c r="G5" s="22" t="n">
        <v>25501</v>
      </c>
      <c r="H5" s="22" t="n">
        <v>771</v>
      </c>
      <c r="I5" s="23" t="n">
        <v>914.6799999999999</v>
      </c>
      <c r="J5" s="22" t="n">
        <v>43</v>
      </c>
      <c r="K5" s="23" t="n">
        <v>3133.94</v>
      </c>
      <c r="L5" s="24" t="n">
        <v>0.0302</v>
      </c>
      <c r="M5" s="23" t="n">
        <v>1.19</v>
      </c>
      <c r="N5" s="24" t="n">
        <v>0.0558</v>
      </c>
      <c r="O5" s="23" t="n">
        <v>21.27</v>
      </c>
      <c r="P5" s="24" t="n">
        <v>3.43</v>
      </c>
    </row>
    <row r="6" ht="22" customHeight="1">
      <c r="A6" s="17" t="inlineStr">
        <is>
          <t>2026-04-06</t>
        </is>
      </c>
      <c r="B6" s="17" t="inlineStr">
        <is>
          <t>Email</t>
        </is>
      </c>
      <c r="C6" s="17" t="inlineStr">
        <is>
          <t>Service Renewal</t>
        </is>
      </c>
      <c r="D6" s="17" t="inlineStr">
        <is>
          <t>Existing customers</t>
        </is>
      </c>
      <c r="E6" s="17" t="inlineStr">
        <is>
          <t>Mobile</t>
        </is>
      </c>
      <c r="F6" s="17" t="inlineStr">
        <is>
          <t>/service-booking</t>
        </is>
      </c>
      <c r="G6" s="19" t="n">
        <v>9334</v>
      </c>
      <c r="H6" s="19" t="n">
        <v>577</v>
      </c>
      <c r="I6" s="20" t="n">
        <v>180.95</v>
      </c>
      <c r="J6" s="19" t="n">
        <v>66</v>
      </c>
      <c r="K6" s="20" t="n">
        <v>5472.36</v>
      </c>
      <c r="L6" s="21" t="n">
        <v>0.0618</v>
      </c>
      <c r="M6" s="20" t="n">
        <v>0.31</v>
      </c>
      <c r="N6" s="21" t="n">
        <v>0.1144</v>
      </c>
      <c r="O6" s="20" t="n">
        <v>2.74</v>
      </c>
      <c r="P6" s="21" t="n">
        <v>30.24</v>
      </c>
    </row>
    <row r="7" ht="22" customHeight="1">
      <c r="A7" s="16" t="inlineStr">
        <is>
          <t>2026-04-06</t>
        </is>
      </c>
      <c r="B7" s="16" t="inlineStr">
        <is>
          <t>Email</t>
        </is>
      </c>
      <c r="C7" s="16" t="inlineStr">
        <is>
          <t>Service Renewal</t>
        </is>
      </c>
      <c r="D7" s="16" t="inlineStr">
        <is>
          <t>Existing customers</t>
        </is>
      </c>
      <c r="E7" s="16" t="inlineStr">
        <is>
          <t>Desktop</t>
        </is>
      </c>
      <c r="F7" s="16" t="inlineStr">
        <is>
          <t>/service-booking</t>
        </is>
      </c>
      <c r="G7" s="22" t="n">
        <v>8445</v>
      </c>
      <c r="H7" s="22" t="n">
        <v>515</v>
      </c>
      <c r="I7" s="23" t="n">
        <v>159.67</v>
      </c>
      <c r="J7" s="22" t="n">
        <v>56</v>
      </c>
      <c r="K7" s="23" t="n">
        <v>4485.65</v>
      </c>
      <c r="L7" s="24" t="n">
        <v>0.061</v>
      </c>
      <c r="M7" s="23" t="n">
        <v>0.31</v>
      </c>
      <c r="N7" s="24" t="n">
        <v>0.1087</v>
      </c>
      <c r="O7" s="23" t="n">
        <v>2.85</v>
      </c>
      <c r="P7" s="24" t="n">
        <v>28.09</v>
      </c>
    </row>
    <row r="8" ht="22" customHeight="1">
      <c r="A8" s="17" t="inlineStr">
        <is>
          <t>2026-04-06</t>
        </is>
      </c>
      <c r="B8" s="17" t="inlineStr">
        <is>
          <t>Display</t>
        </is>
      </c>
      <c r="C8" s="17" t="inlineStr">
        <is>
          <t>Store Locator Push</t>
        </is>
      </c>
      <c r="D8" s="17" t="inlineStr">
        <is>
          <t>Local prospects</t>
        </is>
      </c>
      <c r="E8" s="17" t="inlineStr">
        <is>
          <t>Mobile</t>
        </is>
      </c>
      <c r="F8" s="17" t="inlineStr">
        <is>
          <t>/store-locator</t>
        </is>
      </c>
      <c r="G8" s="19" t="n">
        <v>30940</v>
      </c>
      <c r="H8" s="19" t="n">
        <v>471</v>
      </c>
      <c r="I8" s="20" t="n">
        <v>592.17</v>
      </c>
      <c r="J8" s="19" t="n">
        <v>23</v>
      </c>
      <c r="K8" s="20" t="n">
        <v>1592.52</v>
      </c>
      <c r="L8" s="21" t="n">
        <v>0.0152</v>
      </c>
      <c r="M8" s="20" t="n">
        <v>1.26</v>
      </c>
      <c r="N8" s="21" t="n">
        <v>0.0488</v>
      </c>
      <c r="O8" s="20" t="n">
        <v>25.75</v>
      </c>
      <c r="P8" s="21" t="n">
        <v>2.69</v>
      </c>
    </row>
    <row r="9" ht="22" customHeight="1">
      <c r="A9" s="16" t="inlineStr">
        <is>
          <t>2026-04-06</t>
        </is>
      </c>
      <c r="B9" s="16" t="inlineStr">
        <is>
          <t>Display</t>
        </is>
      </c>
      <c r="C9" s="16" t="inlineStr">
        <is>
          <t>Store Locator Push</t>
        </is>
      </c>
      <c r="D9" s="16" t="inlineStr">
        <is>
          <t>Local prospects</t>
        </is>
      </c>
      <c r="E9" s="16" t="inlineStr">
        <is>
          <t>Desktop</t>
        </is>
      </c>
      <c r="F9" s="16" t="inlineStr">
        <is>
          <t>/store-locator</t>
        </is>
      </c>
      <c r="G9" s="22" t="n">
        <v>27994</v>
      </c>
      <c r="H9" s="22" t="n">
        <v>434</v>
      </c>
      <c r="I9" s="23" t="n">
        <v>567.3200000000001</v>
      </c>
      <c r="J9" s="22" t="n">
        <v>22</v>
      </c>
      <c r="K9" s="23" t="n">
        <v>1505.08</v>
      </c>
      <c r="L9" s="24" t="n">
        <v>0.0155</v>
      </c>
      <c r="M9" s="23" t="n">
        <v>1.31</v>
      </c>
      <c r="N9" s="24" t="n">
        <v>0.0507</v>
      </c>
      <c r="O9" s="23" t="n">
        <v>25.79</v>
      </c>
      <c r="P9" s="24" t="n">
        <v>2.65</v>
      </c>
    </row>
    <row r="10" ht="22" customHeight="1">
      <c r="A10" s="17" t="inlineStr">
        <is>
          <t>2026-04-13</t>
        </is>
      </c>
      <c r="B10" s="17" t="inlineStr">
        <is>
          <t>Paid Search</t>
        </is>
      </c>
      <c r="C10" s="17" t="inlineStr">
        <is>
          <t>Spring Promo</t>
        </is>
      </c>
      <c r="D10" s="17" t="inlineStr">
        <is>
          <t>High-intent prospects</t>
        </is>
      </c>
      <c r="E10" s="17" t="inlineStr">
        <is>
          <t>Mobile</t>
        </is>
      </c>
      <c r="F10" s="17" t="inlineStr">
        <is>
          <t>/promo</t>
        </is>
      </c>
      <c r="G10" s="19" t="n">
        <v>21196</v>
      </c>
      <c r="H10" s="19" t="n">
        <v>1045</v>
      </c>
      <c r="I10" s="20" t="n">
        <v>1338.89</v>
      </c>
      <c r="J10" s="19" t="n">
        <v>93</v>
      </c>
      <c r="K10" s="20" t="n">
        <v>8104.55</v>
      </c>
      <c r="L10" s="21" t="n">
        <v>0.0493</v>
      </c>
      <c r="M10" s="20" t="n">
        <v>1.28</v>
      </c>
      <c r="N10" s="21" t="n">
        <v>0.089</v>
      </c>
      <c r="O10" s="20" t="n">
        <v>14.4</v>
      </c>
      <c r="P10" s="21" t="n">
        <v>6.05</v>
      </c>
    </row>
    <row r="11" ht="22" customHeight="1">
      <c r="A11" s="16" t="inlineStr">
        <is>
          <t>2026-04-13</t>
        </is>
      </c>
      <c r="B11" s="16" t="inlineStr">
        <is>
          <t>Paid Search</t>
        </is>
      </c>
      <c r="C11" s="16" t="inlineStr">
        <is>
          <t>Spring Promo</t>
        </is>
      </c>
      <c r="D11" s="16" t="inlineStr">
        <is>
          <t>High-intent prospects</t>
        </is>
      </c>
      <c r="E11" s="16" t="inlineStr">
        <is>
          <t>Desktop</t>
        </is>
      </c>
      <c r="F11" s="16" t="inlineStr">
        <is>
          <t>/promo</t>
        </is>
      </c>
      <c r="G11" s="22" t="n">
        <v>19178</v>
      </c>
      <c r="H11" s="22" t="n">
        <v>988</v>
      </c>
      <c r="I11" s="23" t="n">
        <v>1319.43</v>
      </c>
      <c r="J11" s="22" t="n">
        <v>84</v>
      </c>
      <c r="K11" s="23" t="n">
        <v>7382.62</v>
      </c>
      <c r="L11" s="24" t="n">
        <v>0.0515</v>
      </c>
      <c r="M11" s="23" t="n">
        <v>1.34</v>
      </c>
      <c r="N11" s="24" t="n">
        <v>0.08500000000000001</v>
      </c>
      <c r="O11" s="23" t="n">
        <v>15.71</v>
      </c>
      <c r="P11" s="24" t="n">
        <v>5.6</v>
      </c>
    </row>
    <row r="12" ht="22" customHeight="1">
      <c r="A12" s="17" t="inlineStr">
        <is>
          <t>2026-04-13</t>
        </is>
      </c>
      <c r="B12" s="17" t="inlineStr">
        <is>
          <t>Paid Social</t>
        </is>
      </c>
      <c r="C12" s="17" t="inlineStr">
        <is>
          <t>New Collection Awareness</t>
        </is>
      </c>
      <c r="D12" s="17" t="inlineStr">
        <is>
          <t>Lookalike audience</t>
        </is>
      </c>
      <c r="E12" s="17" t="inlineStr">
        <is>
          <t>Mobile</t>
        </is>
      </c>
      <c r="F12" s="17" t="inlineStr">
        <is>
          <t>/collection</t>
        </is>
      </c>
      <c r="G12" s="19" t="n">
        <v>28967</v>
      </c>
      <c r="H12" s="19" t="n">
        <v>866</v>
      </c>
      <c r="I12" s="20" t="n">
        <v>1038.02</v>
      </c>
      <c r="J12" s="19" t="n">
        <v>45</v>
      </c>
      <c r="K12" s="20" t="n">
        <v>3504.04</v>
      </c>
      <c r="L12" s="21" t="n">
        <v>0.0299</v>
      </c>
      <c r="M12" s="20" t="n">
        <v>1.2</v>
      </c>
      <c r="N12" s="21" t="n">
        <v>0.052</v>
      </c>
      <c r="O12" s="20" t="n">
        <v>23.07</v>
      </c>
      <c r="P12" s="21" t="n">
        <v>3.38</v>
      </c>
    </row>
    <row r="13" ht="22" customHeight="1">
      <c r="A13" s="16" t="inlineStr">
        <is>
          <t>2026-04-13</t>
        </is>
      </c>
      <c r="B13" s="16" t="inlineStr">
        <is>
          <t>Paid Social</t>
        </is>
      </c>
      <c r="C13" s="16" t="inlineStr">
        <is>
          <t>New Collection Awareness</t>
        </is>
      </c>
      <c r="D13" s="16" t="inlineStr">
        <is>
          <t>Lookalike audience</t>
        </is>
      </c>
      <c r="E13" s="16" t="inlineStr">
        <is>
          <t>Desktop</t>
        </is>
      </c>
      <c r="F13" s="16" t="inlineStr">
        <is>
          <t>/collection</t>
        </is>
      </c>
      <c r="G13" s="22" t="n">
        <v>26208</v>
      </c>
      <c r="H13" s="22" t="n">
        <v>794</v>
      </c>
      <c r="I13" s="23" t="n">
        <v>956.1900000000001</v>
      </c>
      <c r="J13" s="22" t="n">
        <v>41</v>
      </c>
      <c r="K13" s="23" t="n">
        <v>3388.29</v>
      </c>
      <c r="L13" s="24" t="n">
        <v>0.0303</v>
      </c>
      <c r="M13" s="23" t="n">
        <v>1.2</v>
      </c>
      <c r="N13" s="24" t="n">
        <v>0.0516</v>
      </c>
      <c r="O13" s="23" t="n">
        <v>23.32</v>
      </c>
      <c r="P13" s="24" t="n">
        <v>3.54</v>
      </c>
    </row>
    <row r="14" ht="22" customHeight="1">
      <c r="A14" s="17" t="inlineStr">
        <is>
          <t>2026-04-13</t>
        </is>
      </c>
      <c r="B14" s="17" t="inlineStr">
        <is>
          <t>Email</t>
        </is>
      </c>
      <c r="C14" s="17" t="inlineStr">
        <is>
          <t>Service Renewal</t>
        </is>
      </c>
      <c r="D14" s="17" t="inlineStr">
        <is>
          <t>Existing customers</t>
        </is>
      </c>
      <c r="E14" s="17" t="inlineStr">
        <is>
          <t>Mobile</t>
        </is>
      </c>
      <c r="F14" s="17" t="inlineStr">
        <is>
          <t>/service-booking</t>
        </is>
      </c>
      <c r="G14" s="19" t="n">
        <v>10384</v>
      </c>
      <c r="H14" s="19" t="n">
        <v>610</v>
      </c>
      <c r="I14" s="20" t="n">
        <v>192.73</v>
      </c>
      <c r="J14" s="19" t="n">
        <v>64</v>
      </c>
      <c r="K14" s="20" t="n">
        <v>5496.98</v>
      </c>
      <c r="L14" s="21" t="n">
        <v>0.0587</v>
      </c>
      <c r="M14" s="20" t="n">
        <v>0.32</v>
      </c>
      <c r="N14" s="21" t="n">
        <v>0.1049</v>
      </c>
      <c r="O14" s="20" t="n">
        <v>3.01</v>
      </c>
      <c r="P14" s="21" t="n">
        <v>28.52</v>
      </c>
    </row>
    <row r="15" ht="22" customHeight="1">
      <c r="A15" s="16" t="inlineStr">
        <is>
          <t>2026-04-13</t>
        </is>
      </c>
      <c r="B15" s="16" t="inlineStr">
        <is>
          <t>Email</t>
        </is>
      </c>
      <c r="C15" s="16" t="inlineStr">
        <is>
          <t>Service Renewal</t>
        </is>
      </c>
      <c r="D15" s="16" t="inlineStr">
        <is>
          <t>Existing customers</t>
        </is>
      </c>
      <c r="E15" s="16" t="inlineStr">
        <is>
          <t>Desktop</t>
        </is>
      </c>
      <c r="F15" s="16" t="inlineStr">
        <is>
          <t>/service-booking</t>
        </is>
      </c>
      <c r="G15" s="22" t="n">
        <v>9395</v>
      </c>
      <c r="H15" s="22" t="n">
        <v>556</v>
      </c>
      <c r="I15" s="23" t="n">
        <v>176.44</v>
      </c>
      <c r="J15" s="22" t="n">
        <v>60</v>
      </c>
      <c r="K15" s="23" t="n">
        <v>4870.33</v>
      </c>
      <c r="L15" s="24" t="n">
        <v>0.0592</v>
      </c>
      <c r="M15" s="23" t="n">
        <v>0.32</v>
      </c>
      <c r="N15" s="24" t="n">
        <v>0.1079</v>
      </c>
      <c r="O15" s="23" t="n">
        <v>2.94</v>
      </c>
      <c r="P15" s="24" t="n">
        <v>27.6</v>
      </c>
    </row>
    <row r="16" ht="22" customHeight="1">
      <c r="A16" s="17" t="inlineStr">
        <is>
          <t>2026-04-13</t>
        </is>
      </c>
      <c r="B16" s="17" t="inlineStr">
        <is>
          <t>Display</t>
        </is>
      </c>
      <c r="C16" s="17" t="inlineStr">
        <is>
          <t>Store Locator Push</t>
        </is>
      </c>
      <c r="D16" s="17" t="inlineStr">
        <is>
          <t>Local prospects</t>
        </is>
      </c>
      <c r="E16" s="17" t="inlineStr">
        <is>
          <t>Mobile</t>
        </is>
      </c>
      <c r="F16" s="17" t="inlineStr">
        <is>
          <t>/store-locator</t>
        </is>
      </c>
      <c r="G16" s="19" t="n">
        <v>32625</v>
      </c>
      <c r="H16" s="19" t="n">
        <v>498</v>
      </c>
      <c r="I16" s="20" t="n">
        <v>662.9299999999999</v>
      </c>
      <c r="J16" s="19" t="n">
        <v>26</v>
      </c>
      <c r="K16" s="20" t="n">
        <v>1762.19</v>
      </c>
      <c r="L16" s="21" t="n">
        <v>0.0153</v>
      </c>
      <c r="M16" s="20" t="n">
        <v>1.33</v>
      </c>
      <c r="N16" s="21" t="n">
        <v>0.0522</v>
      </c>
      <c r="O16" s="20" t="n">
        <v>25.5</v>
      </c>
      <c r="P16" s="21" t="n">
        <v>2.66</v>
      </c>
    </row>
    <row r="17" ht="22" customHeight="1">
      <c r="A17" s="16" t="inlineStr">
        <is>
          <t>2026-04-13</t>
        </is>
      </c>
      <c r="B17" s="16" t="inlineStr">
        <is>
          <t>Display</t>
        </is>
      </c>
      <c r="C17" s="16" t="inlineStr">
        <is>
          <t>Store Locator Push</t>
        </is>
      </c>
      <c r="D17" s="16" t="inlineStr">
        <is>
          <t>Local prospects</t>
        </is>
      </c>
      <c r="E17" s="16" t="inlineStr">
        <is>
          <t>Desktop</t>
        </is>
      </c>
      <c r="F17" s="16" t="inlineStr">
        <is>
          <t>/store-locator</t>
        </is>
      </c>
      <c r="G17" s="22" t="n">
        <v>29518</v>
      </c>
      <c r="H17" s="22" t="n">
        <v>464</v>
      </c>
      <c r="I17" s="23" t="n">
        <v>587.51</v>
      </c>
      <c r="J17" s="22" t="n">
        <v>24</v>
      </c>
      <c r="K17" s="23" t="n">
        <v>1619.93</v>
      </c>
      <c r="L17" s="24" t="n">
        <v>0.0157</v>
      </c>
      <c r="M17" s="23" t="n">
        <v>1.27</v>
      </c>
      <c r="N17" s="24" t="n">
        <v>0.0517</v>
      </c>
      <c r="O17" s="23" t="n">
        <v>24.48</v>
      </c>
      <c r="P17" s="24" t="n">
        <v>2.76</v>
      </c>
    </row>
    <row r="18" ht="22" customHeight="1">
      <c r="A18" s="17" t="inlineStr">
        <is>
          <t>2026-04-20</t>
        </is>
      </c>
      <c r="B18" s="17" t="inlineStr">
        <is>
          <t>Paid Search</t>
        </is>
      </c>
      <c r="C18" s="17" t="inlineStr">
        <is>
          <t>Spring Promo</t>
        </is>
      </c>
      <c r="D18" s="17" t="inlineStr">
        <is>
          <t>High-intent prospects</t>
        </is>
      </c>
      <c r="E18" s="17" t="inlineStr">
        <is>
          <t>Mobile</t>
        </is>
      </c>
      <c r="F18" s="17" t="inlineStr">
        <is>
          <t>/promo</t>
        </is>
      </c>
      <c r="G18" s="19" t="n">
        <v>20658</v>
      </c>
      <c r="H18" s="19" t="n">
        <v>1029</v>
      </c>
      <c r="I18" s="20" t="n">
        <v>1362.09</v>
      </c>
      <c r="J18" s="19" t="n">
        <v>96</v>
      </c>
      <c r="K18" s="20" t="n">
        <v>8188.51</v>
      </c>
      <c r="L18" s="21" t="n">
        <v>0.0498</v>
      </c>
      <c r="M18" s="20" t="n">
        <v>1.32</v>
      </c>
      <c r="N18" s="21" t="n">
        <v>0.09329999999999999</v>
      </c>
      <c r="O18" s="20" t="n">
        <v>14.19</v>
      </c>
      <c r="P18" s="21" t="n">
        <v>6.01</v>
      </c>
    </row>
    <row r="19" ht="22" customHeight="1">
      <c r="A19" s="16" t="inlineStr">
        <is>
          <t>2026-04-20</t>
        </is>
      </c>
      <c r="B19" s="16" t="inlineStr">
        <is>
          <t>Paid Search</t>
        </is>
      </c>
      <c r="C19" s="16" t="inlineStr">
        <is>
          <t>Spring Promo</t>
        </is>
      </c>
      <c r="D19" s="16" t="inlineStr">
        <is>
          <t>High-intent prospects</t>
        </is>
      </c>
      <c r="E19" s="16" t="inlineStr">
        <is>
          <t>Desktop</t>
        </is>
      </c>
      <c r="F19" s="16" t="inlineStr">
        <is>
          <t>/promo</t>
        </is>
      </c>
      <c r="G19" s="22" t="n">
        <v>18690</v>
      </c>
      <c r="H19" s="22" t="n">
        <v>933</v>
      </c>
      <c r="I19" s="23" t="n">
        <v>1253.36</v>
      </c>
      <c r="J19" s="22" t="n">
        <v>78</v>
      </c>
      <c r="K19" s="23" t="n">
        <v>6808.3</v>
      </c>
      <c r="L19" s="24" t="n">
        <v>0.0499</v>
      </c>
      <c r="M19" s="23" t="n">
        <v>1.34</v>
      </c>
      <c r="N19" s="24" t="n">
        <v>0.08359999999999999</v>
      </c>
      <c r="O19" s="23" t="n">
        <v>16.07</v>
      </c>
      <c r="P19" s="24" t="n">
        <v>5.43</v>
      </c>
    </row>
    <row r="20" ht="22" customHeight="1">
      <c r="A20" s="17" t="inlineStr">
        <is>
          <t>2026-04-20</t>
        </is>
      </c>
      <c r="B20" s="17" t="inlineStr">
        <is>
          <t>Paid Social</t>
        </is>
      </c>
      <c r="C20" s="17" t="inlineStr">
        <is>
          <t>New Collection Awareness</t>
        </is>
      </c>
      <c r="D20" s="17" t="inlineStr">
        <is>
          <t>Lookalike audience</t>
        </is>
      </c>
      <c r="E20" s="17" t="inlineStr">
        <is>
          <t>Mobile</t>
        </is>
      </c>
      <c r="F20" s="17" t="inlineStr">
        <is>
          <t>/collection</t>
        </is>
      </c>
      <c r="G20" s="19" t="n">
        <v>27773</v>
      </c>
      <c r="H20" s="19" t="n">
        <v>818</v>
      </c>
      <c r="I20" s="20" t="n">
        <v>926.5599999999999</v>
      </c>
      <c r="J20" s="19" t="n">
        <v>44</v>
      </c>
      <c r="K20" s="20" t="n">
        <v>3377.38</v>
      </c>
      <c r="L20" s="21" t="n">
        <v>0.0295</v>
      </c>
      <c r="M20" s="20" t="n">
        <v>1.13</v>
      </c>
      <c r="N20" s="21" t="n">
        <v>0.0538</v>
      </c>
      <c r="O20" s="20" t="n">
        <v>21.06</v>
      </c>
      <c r="P20" s="21" t="n">
        <v>3.65</v>
      </c>
    </row>
    <row r="21" ht="22" customHeight="1">
      <c r="A21" s="16" t="inlineStr">
        <is>
          <t>2026-04-20</t>
        </is>
      </c>
      <c r="B21" s="16" t="inlineStr">
        <is>
          <t>Paid Social</t>
        </is>
      </c>
      <c r="C21" s="16" t="inlineStr">
        <is>
          <t>New Collection Awareness</t>
        </is>
      </c>
      <c r="D21" s="16" t="inlineStr">
        <is>
          <t>Lookalike audience</t>
        </is>
      </c>
      <c r="E21" s="16" t="inlineStr">
        <is>
          <t>Desktop</t>
        </is>
      </c>
      <c r="F21" s="16" t="inlineStr">
        <is>
          <t>/collection</t>
        </is>
      </c>
      <c r="G21" s="22" t="n">
        <v>25128</v>
      </c>
      <c r="H21" s="22" t="n">
        <v>753</v>
      </c>
      <c r="I21" s="23" t="n">
        <v>874.6799999999999</v>
      </c>
      <c r="J21" s="22" t="n">
        <v>41</v>
      </c>
      <c r="K21" s="23" t="n">
        <v>3399.06</v>
      </c>
      <c r="L21" s="24" t="n">
        <v>0.03</v>
      </c>
      <c r="M21" s="23" t="n">
        <v>1.16</v>
      </c>
      <c r="N21" s="24" t="n">
        <v>0.0544</v>
      </c>
      <c r="O21" s="23" t="n">
        <v>21.33</v>
      </c>
      <c r="P21" s="24" t="n">
        <v>3.89</v>
      </c>
    </row>
    <row r="22" ht="22" customHeight="1">
      <c r="A22" s="17" t="inlineStr">
        <is>
          <t>2026-04-20</t>
        </is>
      </c>
      <c r="B22" s="17" t="inlineStr">
        <is>
          <t>Email</t>
        </is>
      </c>
      <c r="C22" s="17" t="inlineStr">
        <is>
          <t>Service Renewal</t>
        </is>
      </c>
      <c r="D22" s="17" t="inlineStr">
        <is>
          <t>Existing customers</t>
        </is>
      </c>
      <c r="E22" s="17" t="inlineStr">
        <is>
          <t>Mobile</t>
        </is>
      </c>
      <c r="F22" s="17" t="inlineStr">
        <is>
          <t>/service-booking</t>
        </is>
      </c>
      <c r="G22" s="19" t="n">
        <v>10686</v>
      </c>
      <c r="H22" s="19" t="n">
        <v>638</v>
      </c>
      <c r="I22" s="20" t="n">
        <v>206.93</v>
      </c>
      <c r="J22" s="19" t="n">
        <v>71</v>
      </c>
      <c r="K22" s="20" t="n">
        <v>6037.82</v>
      </c>
      <c r="L22" s="21" t="n">
        <v>0.0597</v>
      </c>
      <c r="M22" s="20" t="n">
        <v>0.32</v>
      </c>
      <c r="N22" s="21" t="n">
        <v>0.1113</v>
      </c>
      <c r="O22" s="20" t="n">
        <v>2.91</v>
      </c>
      <c r="P22" s="21" t="n">
        <v>29.18</v>
      </c>
    </row>
    <row r="23" ht="22" customHeight="1">
      <c r="A23" s="16" t="inlineStr">
        <is>
          <t>2026-04-20</t>
        </is>
      </c>
      <c r="B23" s="16" t="inlineStr">
        <is>
          <t>Email</t>
        </is>
      </c>
      <c r="C23" s="16" t="inlineStr">
        <is>
          <t>Service Renewal</t>
        </is>
      </c>
      <c r="D23" s="16" t="inlineStr">
        <is>
          <t>Existing customers</t>
        </is>
      </c>
      <c r="E23" s="16" t="inlineStr">
        <is>
          <t>Desktop</t>
        </is>
      </c>
      <c r="F23" s="16" t="inlineStr">
        <is>
          <t>/service-booking</t>
        </is>
      </c>
      <c r="G23" s="22" t="n">
        <v>9668</v>
      </c>
      <c r="H23" s="22" t="n">
        <v>605</v>
      </c>
      <c r="I23" s="23" t="n">
        <v>189.95</v>
      </c>
      <c r="J23" s="22" t="n">
        <v>66</v>
      </c>
      <c r="K23" s="23" t="n">
        <v>5588.74</v>
      </c>
      <c r="L23" s="24" t="n">
        <v>0.0626</v>
      </c>
      <c r="M23" s="23" t="n">
        <v>0.31</v>
      </c>
      <c r="N23" s="24" t="n">
        <v>0.1091</v>
      </c>
      <c r="O23" s="23" t="n">
        <v>2.88</v>
      </c>
      <c r="P23" s="24" t="n">
        <v>29.42</v>
      </c>
    </row>
    <row r="24" ht="22" customHeight="1">
      <c r="A24" s="17" t="inlineStr">
        <is>
          <t>2026-04-20</t>
        </is>
      </c>
      <c r="B24" s="17" t="inlineStr">
        <is>
          <t>Display</t>
        </is>
      </c>
      <c r="C24" s="17" t="inlineStr">
        <is>
          <t>Store Locator Push</t>
        </is>
      </c>
      <c r="D24" s="17" t="inlineStr">
        <is>
          <t>Local prospects</t>
        </is>
      </c>
      <c r="E24" s="17" t="inlineStr">
        <is>
          <t>Mobile</t>
        </is>
      </c>
      <c r="F24" s="17" t="inlineStr">
        <is>
          <t>/store-locator</t>
        </is>
      </c>
      <c r="G24" s="19" t="n">
        <v>31980</v>
      </c>
      <c r="H24" s="19" t="n">
        <v>518</v>
      </c>
      <c r="I24" s="20" t="n">
        <v>656.27</v>
      </c>
      <c r="J24" s="19" t="n">
        <v>25</v>
      </c>
      <c r="K24" s="20" t="n">
        <v>1769.6</v>
      </c>
      <c r="L24" s="21" t="n">
        <v>0.0162</v>
      </c>
      <c r="M24" s="20" t="n">
        <v>1.27</v>
      </c>
      <c r="N24" s="21" t="n">
        <v>0.0483</v>
      </c>
      <c r="O24" s="20" t="n">
        <v>26.25</v>
      </c>
      <c r="P24" s="21" t="n">
        <v>2.7</v>
      </c>
    </row>
    <row r="25" ht="22" customHeight="1">
      <c r="A25" s="16" t="inlineStr">
        <is>
          <t>2026-04-20</t>
        </is>
      </c>
      <c r="B25" s="16" t="inlineStr">
        <is>
          <t>Display</t>
        </is>
      </c>
      <c r="C25" s="16" t="inlineStr">
        <is>
          <t>Store Locator Push</t>
        </is>
      </c>
      <c r="D25" s="16" t="inlineStr">
        <is>
          <t>Local prospects</t>
        </is>
      </c>
      <c r="E25" s="16" t="inlineStr">
        <is>
          <t>Desktop</t>
        </is>
      </c>
      <c r="F25" s="16" t="inlineStr">
        <is>
          <t>/store-locator</t>
        </is>
      </c>
      <c r="G25" s="22" t="n">
        <v>28934</v>
      </c>
      <c r="H25" s="22" t="n">
        <v>439</v>
      </c>
      <c r="I25" s="23" t="n">
        <v>554.28</v>
      </c>
      <c r="J25" s="22" t="n">
        <v>22</v>
      </c>
      <c r="K25" s="23" t="n">
        <v>1527.41</v>
      </c>
      <c r="L25" s="24" t="n">
        <v>0.0152</v>
      </c>
      <c r="M25" s="23" t="n">
        <v>1.26</v>
      </c>
      <c r="N25" s="24" t="n">
        <v>0.0501</v>
      </c>
      <c r="O25" s="23" t="n">
        <v>25.19</v>
      </c>
      <c r="P25" s="24" t="n">
        <v>2.76</v>
      </c>
    </row>
    <row r="26" ht="22" customHeight="1">
      <c r="A26" s="17" t="inlineStr">
        <is>
          <t>2026-04-27</t>
        </is>
      </c>
      <c r="B26" s="17" t="inlineStr">
        <is>
          <t>Paid Search</t>
        </is>
      </c>
      <c r="C26" s="17" t="inlineStr">
        <is>
          <t>Spring Promo</t>
        </is>
      </c>
      <c r="D26" s="17" t="inlineStr">
        <is>
          <t>High-intent prospects</t>
        </is>
      </c>
      <c r="E26" s="17" t="inlineStr">
        <is>
          <t>Mobile</t>
        </is>
      </c>
      <c r="F26" s="17" t="inlineStr">
        <is>
          <t>/promo</t>
        </is>
      </c>
      <c r="G26" s="19" t="n">
        <v>26205</v>
      </c>
      <c r="H26" s="19" t="n">
        <v>1219</v>
      </c>
      <c r="I26" s="20" t="n">
        <v>1573</v>
      </c>
      <c r="J26" s="19" t="n">
        <v>113</v>
      </c>
      <c r="K26" s="20" t="n">
        <v>10232.33</v>
      </c>
      <c r="L26" s="21" t="n">
        <v>0.0465</v>
      </c>
      <c r="M26" s="20" t="n">
        <v>1.29</v>
      </c>
      <c r="N26" s="21" t="n">
        <v>0.0927</v>
      </c>
      <c r="O26" s="20" t="n">
        <v>13.92</v>
      </c>
      <c r="P26" s="21" t="n">
        <v>6.5</v>
      </c>
    </row>
    <row r="27" ht="22" customHeight="1">
      <c r="A27" s="16" t="inlineStr">
        <is>
          <t>2026-04-27</t>
        </is>
      </c>
      <c r="B27" s="16" t="inlineStr">
        <is>
          <t>Paid Search</t>
        </is>
      </c>
      <c r="C27" s="16" t="inlineStr">
        <is>
          <t>Spring Promo</t>
        </is>
      </c>
      <c r="D27" s="16" t="inlineStr">
        <is>
          <t>High-intent prospects</t>
        </is>
      </c>
      <c r="E27" s="16" t="inlineStr">
        <is>
          <t>Desktop</t>
        </is>
      </c>
      <c r="F27" s="16" t="inlineStr">
        <is>
          <t>/promo</t>
        </is>
      </c>
      <c r="G27" s="22" t="n">
        <v>23710</v>
      </c>
      <c r="H27" s="22" t="n">
        <v>1132</v>
      </c>
      <c r="I27" s="23" t="n">
        <v>1457.26</v>
      </c>
      <c r="J27" s="22" t="n">
        <v>101</v>
      </c>
      <c r="K27" s="23" t="n">
        <v>8773.790000000001</v>
      </c>
      <c r="L27" s="24" t="n">
        <v>0.0477</v>
      </c>
      <c r="M27" s="23" t="n">
        <v>1.29</v>
      </c>
      <c r="N27" s="24" t="n">
        <v>0.0892</v>
      </c>
      <c r="O27" s="23" t="n">
        <v>14.43</v>
      </c>
      <c r="P27" s="24" t="n">
        <v>6.02</v>
      </c>
    </row>
    <row r="28" ht="22" customHeight="1">
      <c r="A28" s="17" t="inlineStr">
        <is>
          <t>2026-04-27</t>
        </is>
      </c>
      <c r="B28" s="17" t="inlineStr">
        <is>
          <t>Paid Social</t>
        </is>
      </c>
      <c r="C28" s="17" t="inlineStr">
        <is>
          <t>New Collection Awareness</t>
        </is>
      </c>
      <c r="D28" s="17" t="inlineStr">
        <is>
          <t>Lookalike audience</t>
        </is>
      </c>
      <c r="E28" s="17" t="inlineStr">
        <is>
          <t>Mobile</t>
        </is>
      </c>
      <c r="F28" s="17" t="inlineStr">
        <is>
          <t>/collection</t>
        </is>
      </c>
      <c r="G28" s="19" t="n">
        <v>34016</v>
      </c>
      <c r="H28" s="19" t="n">
        <v>1019</v>
      </c>
      <c r="I28" s="20" t="n">
        <v>1148.09</v>
      </c>
      <c r="J28" s="19" t="n">
        <v>56</v>
      </c>
      <c r="K28" s="20" t="n">
        <v>4329.45</v>
      </c>
      <c r="L28" s="21" t="n">
        <v>0.03</v>
      </c>
      <c r="M28" s="20" t="n">
        <v>1.13</v>
      </c>
      <c r="N28" s="21" t="n">
        <v>0.055</v>
      </c>
      <c r="O28" s="20" t="n">
        <v>20.5</v>
      </c>
      <c r="P28" s="21" t="n">
        <v>3.77</v>
      </c>
    </row>
    <row r="29" ht="22" customHeight="1">
      <c r="A29" s="16" t="inlineStr">
        <is>
          <t>2026-04-27</t>
        </is>
      </c>
      <c r="B29" s="16" t="inlineStr">
        <is>
          <t>Paid Social</t>
        </is>
      </c>
      <c r="C29" s="16" t="inlineStr">
        <is>
          <t>New Collection Awareness</t>
        </is>
      </c>
      <c r="D29" s="16" t="inlineStr">
        <is>
          <t>Lookalike audience</t>
        </is>
      </c>
      <c r="E29" s="16" t="inlineStr">
        <is>
          <t>Desktop</t>
        </is>
      </c>
      <c r="F29" s="16" t="inlineStr">
        <is>
          <t>/collection</t>
        </is>
      </c>
      <c r="G29" s="22" t="n">
        <v>30777</v>
      </c>
      <c r="H29" s="22" t="n">
        <v>896</v>
      </c>
      <c r="I29" s="23" t="n">
        <v>1108.04</v>
      </c>
      <c r="J29" s="22" t="n">
        <v>44</v>
      </c>
      <c r="K29" s="23" t="n">
        <v>3326.57</v>
      </c>
      <c r="L29" s="24" t="n">
        <v>0.0291</v>
      </c>
      <c r="M29" s="23" t="n">
        <v>1.24</v>
      </c>
      <c r="N29" s="24" t="n">
        <v>0.0491</v>
      </c>
      <c r="O29" s="23" t="n">
        <v>25.18</v>
      </c>
      <c r="P29" s="24" t="n">
        <v>3</v>
      </c>
    </row>
    <row r="30" ht="22" customHeight="1">
      <c r="A30" s="17" t="inlineStr">
        <is>
          <t>2026-04-27</t>
        </is>
      </c>
      <c r="B30" s="17" t="inlineStr">
        <is>
          <t>Email</t>
        </is>
      </c>
      <c r="C30" s="17" t="inlineStr">
        <is>
          <t>Service Renewal</t>
        </is>
      </c>
      <c r="D30" s="17" t="inlineStr">
        <is>
          <t>Existing customers</t>
        </is>
      </c>
      <c r="E30" s="17" t="inlineStr">
        <is>
          <t>Mobile</t>
        </is>
      </c>
      <c r="F30" s="17" t="inlineStr">
        <is>
          <t>/service-booking</t>
        </is>
      </c>
      <c r="G30" s="19" t="n">
        <v>9628</v>
      </c>
      <c r="H30" s="19" t="n">
        <v>594</v>
      </c>
      <c r="I30" s="20" t="n">
        <v>193.03</v>
      </c>
      <c r="J30" s="19" t="n">
        <v>66</v>
      </c>
      <c r="K30" s="20" t="n">
        <v>5447.83</v>
      </c>
      <c r="L30" s="21" t="n">
        <v>0.0617</v>
      </c>
      <c r="M30" s="20" t="n">
        <v>0.32</v>
      </c>
      <c r="N30" s="21" t="n">
        <v>0.1111</v>
      </c>
      <c r="O30" s="20" t="n">
        <v>2.92</v>
      </c>
      <c r="P30" s="21" t="n">
        <v>28.22</v>
      </c>
    </row>
    <row r="31" ht="22" customHeight="1">
      <c r="A31" s="16" t="inlineStr">
        <is>
          <t>2026-04-27</t>
        </is>
      </c>
      <c r="B31" s="16" t="inlineStr">
        <is>
          <t>Email</t>
        </is>
      </c>
      <c r="C31" s="16" t="inlineStr">
        <is>
          <t>Service Renewal</t>
        </is>
      </c>
      <c r="D31" s="16" t="inlineStr">
        <is>
          <t>Existing customers</t>
        </is>
      </c>
      <c r="E31" s="16" t="inlineStr">
        <is>
          <t>Desktop</t>
        </is>
      </c>
      <c r="F31" s="16" t="inlineStr">
        <is>
          <t>/service-booking</t>
        </is>
      </c>
      <c r="G31" s="22" t="n">
        <v>8711</v>
      </c>
      <c r="H31" s="22" t="n">
        <v>537</v>
      </c>
      <c r="I31" s="23" t="n">
        <v>173.15</v>
      </c>
      <c r="J31" s="22" t="n">
        <v>57</v>
      </c>
      <c r="K31" s="23" t="n">
        <v>4869.45</v>
      </c>
      <c r="L31" s="24" t="n">
        <v>0.0616</v>
      </c>
      <c r="M31" s="23" t="n">
        <v>0.32</v>
      </c>
      <c r="N31" s="24" t="n">
        <v>0.1061</v>
      </c>
      <c r="O31" s="23" t="n">
        <v>3.04</v>
      </c>
      <c r="P31" s="24" t="n">
        <v>28.12</v>
      </c>
    </row>
    <row r="32" ht="22" customHeight="1">
      <c r="A32" s="17" t="inlineStr">
        <is>
          <t>2026-04-27</t>
        </is>
      </c>
      <c r="B32" s="17" t="inlineStr">
        <is>
          <t>Display</t>
        </is>
      </c>
      <c r="C32" s="17" t="inlineStr">
        <is>
          <t>Store Locator Push</t>
        </is>
      </c>
      <c r="D32" s="17" t="inlineStr">
        <is>
          <t>Local prospects</t>
        </is>
      </c>
      <c r="E32" s="17" t="inlineStr">
        <is>
          <t>Mobile</t>
        </is>
      </c>
      <c r="F32" s="17" t="inlineStr">
        <is>
          <t>/store-locator</t>
        </is>
      </c>
      <c r="G32" s="19" t="n">
        <v>35895</v>
      </c>
      <c r="H32" s="19" t="n">
        <v>549</v>
      </c>
      <c r="I32" s="20" t="n">
        <v>695.11</v>
      </c>
      <c r="J32" s="19" t="n">
        <v>26</v>
      </c>
      <c r="K32" s="20" t="n">
        <v>1786.68</v>
      </c>
      <c r="L32" s="21" t="n">
        <v>0.0153</v>
      </c>
      <c r="M32" s="20" t="n">
        <v>1.27</v>
      </c>
      <c r="N32" s="21" t="n">
        <v>0.0474</v>
      </c>
      <c r="O32" s="20" t="n">
        <v>26.73</v>
      </c>
      <c r="P32" s="21" t="n">
        <v>2.57</v>
      </c>
    </row>
    <row r="33" ht="22" customHeight="1">
      <c r="A33" s="16" t="inlineStr">
        <is>
          <t>2026-04-27</t>
        </is>
      </c>
      <c r="B33" s="16" t="inlineStr">
        <is>
          <t>Display</t>
        </is>
      </c>
      <c r="C33" s="16" t="inlineStr">
        <is>
          <t>Store Locator Push</t>
        </is>
      </c>
      <c r="D33" s="16" t="inlineStr">
        <is>
          <t>Local prospects</t>
        </is>
      </c>
      <c r="E33" s="16" t="inlineStr">
        <is>
          <t>Desktop</t>
        </is>
      </c>
      <c r="F33" s="16" t="inlineStr">
        <is>
          <t>/store-locator</t>
        </is>
      </c>
      <c r="G33" s="22" t="n">
        <v>32476</v>
      </c>
      <c r="H33" s="22" t="n">
        <v>505</v>
      </c>
      <c r="I33" s="23" t="n">
        <v>666.34</v>
      </c>
      <c r="J33" s="22" t="n">
        <v>24</v>
      </c>
      <c r="K33" s="23" t="n">
        <v>1704.16</v>
      </c>
      <c r="L33" s="24" t="n">
        <v>0.0155</v>
      </c>
      <c r="M33" s="23" t="n">
        <v>1.32</v>
      </c>
      <c r="N33" s="24" t="n">
        <v>0.0475</v>
      </c>
      <c r="O33" s="23" t="n">
        <v>27.76</v>
      </c>
      <c r="P33" s="24" t="n">
        <v>2.56</v>
      </c>
    </row>
    <row r="34" ht="22" customHeight="1">
      <c r="A34" s="17" t="inlineStr">
        <is>
          <t>2026-05-04</t>
        </is>
      </c>
      <c r="B34" s="17" t="inlineStr">
        <is>
          <t>Paid Search</t>
        </is>
      </c>
      <c r="C34" s="17" t="inlineStr">
        <is>
          <t>Spring Promo</t>
        </is>
      </c>
      <c r="D34" s="17" t="inlineStr">
        <is>
          <t>High-intent prospects</t>
        </is>
      </c>
      <c r="E34" s="17" t="inlineStr">
        <is>
          <t>Mobile</t>
        </is>
      </c>
      <c r="F34" s="17" t="inlineStr">
        <is>
          <t>/promo</t>
        </is>
      </c>
      <c r="G34" s="19" t="n">
        <v>21824</v>
      </c>
      <c r="H34" s="19" t="n">
        <v>1060</v>
      </c>
      <c r="I34" s="20" t="n">
        <v>1428.97</v>
      </c>
      <c r="J34" s="19" t="n">
        <v>100</v>
      </c>
      <c r="K34" s="20" t="n">
        <v>8833.620000000001</v>
      </c>
      <c r="L34" s="21" t="n">
        <v>0.0486</v>
      </c>
      <c r="M34" s="20" t="n">
        <v>1.35</v>
      </c>
      <c r="N34" s="21" t="n">
        <v>0.09429999999999999</v>
      </c>
      <c r="O34" s="20" t="n">
        <v>14.29</v>
      </c>
      <c r="P34" s="21" t="n">
        <v>6.18</v>
      </c>
    </row>
    <row r="35" ht="22" customHeight="1">
      <c r="A35" s="16" t="inlineStr">
        <is>
          <t>2026-05-04</t>
        </is>
      </c>
      <c r="B35" s="16" t="inlineStr">
        <is>
          <t>Paid Search</t>
        </is>
      </c>
      <c r="C35" s="16" t="inlineStr">
        <is>
          <t>Spring Promo</t>
        </is>
      </c>
      <c r="D35" s="16" t="inlineStr">
        <is>
          <t>High-intent prospects</t>
        </is>
      </c>
      <c r="E35" s="16" t="inlineStr">
        <is>
          <t>Desktop</t>
        </is>
      </c>
      <c r="F35" s="16" t="inlineStr">
        <is>
          <t>/promo</t>
        </is>
      </c>
      <c r="G35" s="22" t="n">
        <v>19745</v>
      </c>
      <c r="H35" s="22" t="n">
        <v>930</v>
      </c>
      <c r="I35" s="23" t="n">
        <v>1267.73</v>
      </c>
      <c r="J35" s="22" t="n">
        <v>83</v>
      </c>
      <c r="K35" s="23" t="n">
        <v>7169.99</v>
      </c>
      <c r="L35" s="24" t="n">
        <v>0.0471</v>
      </c>
      <c r="M35" s="23" t="n">
        <v>1.36</v>
      </c>
      <c r="N35" s="24" t="n">
        <v>0.0892</v>
      </c>
      <c r="O35" s="23" t="n">
        <v>15.27</v>
      </c>
      <c r="P35" s="24" t="n">
        <v>5.66</v>
      </c>
    </row>
    <row r="36" ht="22" customHeight="1">
      <c r="A36" s="17" t="inlineStr">
        <is>
          <t>2026-05-04</t>
        </is>
      </c>
      <c r="B36" s="17" t="inlineStr">
        <is>
          <t>Paid Social</t>
        </is>
      </c>
      <c r="C36" s="17" t="inlineStr">
        <is>
          <t>New Collection Awareness</t>
        </is>
      </c>
      <c r="D36" s="17" t="inlineStr">
        <is>
          <t>Lookalike audience</t>
        </is>
      </c>
      <c r="E36" s="17" t="inlineStr">
        <is>
          <t>Mobile</t>
        </is>
      </c>
      <c r="F36" s="17" t="inlineStr">
        <is>
          <t>/collection</t>
        </is>
      </c>
      <c r="G36" s="19" t="n">
        <v>31216</v>
      </c>
      <c r="H36" s="19" t="n">
        <v>895</v>
      </c>
      <c r="I36" s="20" t="n">
        <v>1048.32</v>
      </c>
      <c r="J36" s="19" t="n">
        <v>46</v>
      </c>
      <c r="K36" s="20" t="n">
        <v>3424.96</v>
      </c>
      <c r="L36" s="21" t="n">
        <v>0.0287</v>
      </c>
      <c r="M36" s="20" t="n">
        <v>1.17</v>
      </c>
      <c r="N36" s="21" t="n">
        <v>0.0514</v>
      </c>
      <c r="O36" s="20" t="n">
        <v>22.79</v>
      </c>
      <c r="P36" s="21" t="n">
        <v>3.27</v>
      </c>
    </row>
    <row r="37" ht="22" customHeight="1">
      <c r="A37" s="16" t="inlineStr">
        <is>
          <t>2026-05-04</t>
        </is>
      </c>
      <c r="B37" s="16" t="inlineStr">
        <is>
          <t>Paid Social</t>
        </is>
      </c>
      <c r="C37" s="16" t="inlineStr">
        <is>
          <t>New Collection Awareness</t>
        </is>
      </c>
      <c r="D37" s="16" t="inlineStr">
        <is>
          <t>Lookalike audience</t>
        </is>
      </c>
      <c r="E37" s="16" t="inlineStr">
        <is>
          <t>Desktop</t>
        </is>
      </c>
      <c r="F37" s="16" t="inlineStr">
        <is>
          <t>/collection</t>
        </is>
      </c>
      <c r="G37" s="22" t="n">
        <v>28243</v>
      </c>
      <c r="H37" s="22" t="n">
        <v>898</v>
      </c>
      <c r="I37" s="23" t="n">
        <v>1075.14</v>
      </c>
      <c r="J37" s="22" t="n">
        <v>49</v>
      </c>
      <c r="K37" s="23" t="n">
        <v>3894.8</v>
      </c>
      <c r="L37" s="24" t="n">
        <v>0.0318</v>
      </c>
      <c r="M37" s="23" t="n">
        <v>1.2</v>
      </c>
      <c r="N37" s="24" t="n">
        <v>0.0546</v>
      </c>
      <c r="O37" s="23" t="n">
        <v>21.94</v>
      </c>
      <c r="P37" s="24" t="n">
        <v>3.62</v>
      </c>
    </row>
    <row r="38" ht="22" customHeight="1">
      <c r="A38" s="17" t="inlineStr">
        <is>
          <t>2026-05-04</t>
        </is>
      </c>
      <c r="B38" s="17" t="inlineStr">
        <is>
          <t>Email</t>
        </is>
      </c>
      <c r="C38" s="17" t="inlineStr">
        <is>
          <t>Service Renewal</t>
        </is>
      </c>
      <c r="D38" s="17" t="inlineStr">
        <is>
          <t>Existing customers</t>
        </is>
      </c>
      <c r="E38" s="17" t="inlineStr">
        <is>
          <t>Mobile</t>
        </is>
      </c>
      <c r="F38" s="17" t="inlineStr">
        <is>
          <t>/service-booking</t>
        </is>
      </c>
      <c r="G38" s="19" t="n">
        <v>10673</v>
      </c>
      <c r="H38" s="19" t="n">
        <v>634</v>
      </c>
      <c r="I38" s="20" t="n">
        <v>210.29</v>
      </c>
      <c r="J38" s="19" t="n">
        <v>64</v>
      </c>
      <c r="K38" s="20" t="n">
        <v>5466.2</v>
      </c>
      <c r="L38" s="21" t="n">
        <v>0.0594</v>
      </c>
      <c r="M38" s="20" t="n">
        <v>0.33</v>
      </c>
      <c r="N38" s="21" t="n">
        <v>0.1009</v>
      </c>
      <c r="O38" s="20" t="n">
        <v>3.29</v>
      </c>
      <c r="P38" s="21" t="n">
        <v>25.99</v>
      </c>
    </row>
    <row r="39" ht="22" customHeight="1">
      <c r="A39" s="16" t="inlineStr">
        <is>
          <t>2026-05-04</t>
        </is>
      </c>
      <c r="B39" s="16" t="inlineStr">
        <is>
          <t>Email</t>
        </is>
      </c>
      <c r="C39" s="16" t="inlineStr">
        <is>
          <t>Service Renewal</t>
        </is>
      </c>
      <c r="D39" s="16" t="inlineStr">
        <is>
          <t>Existing customers</t>
        </is>
      </c>
      <c r="E39" s="16" t="inlineStr">
        <is>
          <t>Desktop</t>
        </is>
      </c>
      <c r="F39" s="16" t="inlineStr">
        <is>
          <t>/service-booking</t>
        </is>
      </c>
      <c r="G39" s="22" t="n">
        <v>9656</v>
      </c>
      <c r="H39" s="22" t="n">
        <v>607</v>
      </c>
      <c r="I39" s="23" t="n">
        <v>213.26</v>
      </c>
      <c r="J39" s="22" t="n">
        <v>65</v>
      </c>
      <c r="K39" s="23" t="n">
        <v>5458.65</v>
      </c>
      <c r="L39" s="24" t="n">
        <v>0.0629</v>
      </c>
      <c r="M39" s="23" t="n">
        <v>0.35</v>
      </c>
      <c r="N39" s="24" t="n">
        <v>0.1071</v>
      </c>
      <c r="O39" s="23" t="n">
        <v>3.28</v>
      </c>
      <c r="P39" s="24" t="n">
        <v>25.6</v>
      </c>
    </row>
    <row r="40" ht="22" customHeight="1">
      <c r="A40" s="17" t="inlineStr">
        <is>
          <t>2026-05-04</t>
        </is>
      </c>
      <c r="B40" s="17" t="inlineStr">
        <is>
          <t>Display</t>
        </is>
      </c>
      <c r="C40" s="17" t="inlineStr">
        <is>
          <t>Store Locator Push</t>
        </is>
      </c>
      <c r="D40" s="17" t="inlineStr">
        <is>
          <t>Local prospects</t>
        </is>
      </c>
      <c r="E40" s="17" t="inlineStr">
        <is>
          <t>Mobile</t>
        </is>
      </c>
      <c r="F40" s="17" t="inlineStr">
        <is>
          <t>/store-locator</t>
        </is>
      </c>
      <c r="G40" s="19" t="n">
        <v>34432</v>
      </c>
      <c r="H40" s="19" t="n">
        <v>514</v>
      </c>
      <c r="I40" s="20" t="n">
        <v>630.3200000000001</v>
      </c>
      <c r="J40" s="19" t="n">
        <v>25</v>
      </c>
      <c r="K40" s="20" t="n">
        <v>1647.79</v>
      </c>
      <c r="L40" s="21" t="n">
        <v>0.0149</v>
      </c>
      <c r="M40" s="20" t="n">
        <v>1.23</v>
      </c>
      <c r="N40" s="21" t="n">
        <v>0.0486</v>
      </c>
      <c r="O40" s="20" t="n">
        <v>25.21</v>
      </c>
      <c r="P40" s="21" t="n">
        <v>2.61</v>
      </c>
    </row>
    <row r="41" ht="22" customHeight="1">
      <c r="A41" s="16" t="inlineStr">
        <is>
          <t>2026-05-04</t>
        </is>
      </c>
      <c r="B41" s="16" t="inlineStr">
        <is>
          <t>Display</t>
        </is>
      </c>
      <c r="C41" s="16" t="inlineStr">
        <is>
          <t>Store Locator Push</t>
        </is>
      </c>
      <c r="D41" s="16" t="inlineStr">
        <is>
          <t>Local prospects</t>
        </is>
      </c>
      <c r="E41" s="16" t="inlineStr">
        <is>
          <t>Desktop</t>
        </is>
      </c>
      <c r="F41" s="16" t="inlineStr">
        <is>
          <t>/store-locator</t>
        </is>
      </c>
      <c r="G41" s="22" t="n">
        <v>31152</v>
      </c>
      <c r="H41" s="22" t="n">
        <v>470</v>
      </c>
      <c r="I41" s="23" t="n">
        <v>585.3200000000001</v>
      </c>
      <c r="J41" s="22" t="n">
        <v>23</v>
      </c>
      <c r="K41" s="23" t="n">
        <v>1539.13</v>
      </c>
      <c r="L41" s="24" t="n">
        <v>0.0151</v>
      </c>
      <c r="M41" s="23" t="n">
        <v>1.25</v>
      </c>
      <c r="N41" s="24" t="n">
        <v>0.0489</v>
      </c>
      <c r="O41" s="23" t="n">
        <v>25.45</v>
      </c>
      <c r="P41" s="24" t="n">
        <v>2.63</v>
      </c>
    </row>
    <row r="42" ht="22" customHeight="1">
      <c r="A42" s="17" t="inlineStr">
        <is>
          <t>2026-05-11</t>
        </is>
      </c>
      <c r="B42" s="17" t="inlineStr">
        <is>
          <t>Paid Search</t>
        </is>
      </c>
      <c r="C42" s="17" t="inlineStr">
        <is>
          <t>Spring Promo</t>
        </is>
      </c>
      <c r="D42" s="17" t="inlineStr">
        <is>
          <t>High-intent prospects</t>
        </is>
      </c>
      <c r="E42" s="17" t="inlineStr">
        <is>
          <t>Mobile</t>
        </is>
      </c>
      <c r="F42" s="17" t="inlineStr">
        <is>
          <t>/promo</t>
        </is>
      </c>
      <c r="G42" s="19" t="n">
        <v>23409</v>
      </c>
      <c r="H42" s="19" t="n">
        <v>1215</v>
      </c>
      <c r="I42" s="20" t="n">
        <v>1640.17</v>
      </c>
      <c r="J42" s="19" t="n">
        <v>113</v>
      </c>
      <c r="K42" s="20" t="n">
        <v>9661.790000000001</v>
      </c>
      <c r="L42" s="21" t="n">
        <v>0.0519</v>
      </c>
      <c r="M42" s="20" t="n">
        <v>1.35</v>
      </c>
      <c r="N42" s="21" t="n">
        <v>0.093</v>
      </c>
      <c r="O42" s="20" t="n">
        <v>14.51</v>
      </c>
      <c r="P42" s="21" t="n">
        <v>5.89</v>
      </c>
    </row>
    <row r="43" ht="22" customHeight="1">
      <c r="A43" s="16" t="inlineStr">
        <is>
          <t>2026-05-11</t>
        </is>
      </c>
      <c r="B43" s="16" t="inlineStr">
        <is>
          <t>Paid Search</t>
        </is>
      </c>
      <c r="C43" s="16" t="inlineStr">
        <is>
          <t>Spring Promo</t>
        </is>
      </c>
      <c r="D43" s="16" t="inlineStr">
        <is>
          <t>High-intent prospects</t>
        </is>
      </c>
      <c r="E43" s="16" t="inlineStr">
        <is>
          <t>Desktop</t>
        </is>
      </c>
      <c r="F43" s="16" t="inlineStr">
        <is>
          <t>/promo</t>
        </is>
      </c>
      <c r="G43" s="22" t="n">
        <v>21180</v>
      </c>
      <c r="H43" s="22" t="n">
        <v>1067</v>
      </c>
      <c r="I43" s="23" t="n">
        <v>1435.4</v>
      </c>
      <c r="J43" s="22" t="n">
        <v>103</v>
      </c>
      <c r="K43" s="23" t="n">
        <v>9144.809999999999</v>
      </c>
      <c r="L43" s="24" t="n">
        <v>0.0504</v>
      </c>
      <c r="M43" s="23" t="n">
        <v>1.35</v>
      </c>
      <c r="N43" s="24" t="n">
        <v>0.0965</v>
      </c>
      <c r="O43" s="23" t="n">
        <v>13.94</v>
      </c>
      <c r="P43" s="24" t="n">
        <v>6.37</v>
      </c>
    </row>
    <row r="44" ht="22" customHeight="1">
      <c r="A44" s="17" t="inlineStr">
        <is>
          <t>2026-05-11</t>
        </is>
      </c>
      <c r="B44" s="17" t="inlineStr">
        <is>
          <t>Paid Social</t>
        </is>
      </c>
      <c r="C44" s="17" t="inlineStr">
        <is>
          <t>New Collection Awareness</t>
        </is>
      </c>
      <c r="D44" s="17" t="inlineStr">
        <is>
          <t>Lookalike audience</t>
        </is>
      </c>
      <c r="E44" s="17" t="inlineStr">
        <is>
          <t>Mobile</t>
        </is>
      </c>
      <c r="F44" s="17" t="inlineStr">
        <is>
          <t>/collection</t>
        </is>
      </c>
      <c r="G44" s="19" t="n">
        <v>29973</v>
      </c>
      <c r="H44" s="19" t="n">
        <v>890</v>
      </c>
      <c r="I44" s="20" t="n">
        <v>1023.22</v>
      </c>
      <c r="J44" s="19" t="n">
        <v>47</v>
      </c>
      <c r="K44" s="20" t="n">
        <v>3397.42</v>
      </c>
      <c r="L44" s="21" t="n">
        <v>0.0297</v>
      </c>
      <c r="M44" s="20" t="n">
        <v>1.15</v>
      </c>
      <c r="N44" s="21" t="n">
        <v>0.0528</v>
      </c>
      <c r="O44" s="20" t="n">
        <v>21.77</v>
      </c>
      <c r="P44" s="21" t="n">
        <v>3.32</v>
      </c>
    </row>
    <row r="45" ht="22" customHeight="1">
      <c r="A45" s="16" t="inlineStr">
        <is>
          <t>2026-05-11</t>
        </is>
      </c>
      <c r="B45" s="16" t="inlineStr">
        <is>
          <t>Paid Social</t>
        </is>
      </c>
      <c r="C45" s="16" t="inlineStr">
        <is>
          <t>New Collection Awareness</t>
        </is>
      </c>
      <c r="D45" s="16" t="inlineStr">
        <is>
          <t>Lookalike audience</t>
        </is>
      </c>
      <c r="E45" s="16" t="inlineStr">
        <is>
          <t>Desktop</t>
        </is>
      </c>
      <c r="F45" s="16" t="inlineStr">
        <is>
          <t>/collection</t>
        </is>
      </c>
      <c r="G45" s="22" t="n">
        <v>27118</v>
      </c>
      <c r="H45" s="22" t="n">
        <v>823</v>
      </c>
      <c r="I45" s="23" t="n">
        <v>927.76</v>
      </c>
      <c r="J45" s="22" t="n">
        <v>39</v>
      </c>
      <c r="K45" s="23" t="n">
        <v>2952.63</v>
      </c>
      <c r="L45" s="24" t="n">
        <v>0.0303</v>
      </c>
      <c r="M45" s="23" t="n">
        <v>1.13</v>
      </c>
      <c r="N45" s="24" t="n">
        <v>0.0474</v>
      </c>
      <c r="O45" s="23" t="n">
        <v>23.79</v>
      </c>
      <c r="P45" s="24" t="n">
        <v>3.18</v>
      </c>
    </row>
    <row r="46" ht="22" customHeight="1">
      <c r="A46" s="17" t="inlineStr">
        <is>
          <t>2026-05-11</t>
        </is>
      </c>
      <c r="B46" s="17" t="inlineStr">
        <is>
          <t>Email</t>
        </is>
      </c>
      <c r="C46" s="17" t="inlineStr">
        <is>
          <t>Service Renewal</t>
        </is>
      </c>
      <c r="D46" s="17" t="inlineStr">
        <is>
          <t>Existing customers</t>
        </is>
      </c>
      <c r="E46" s="17" t="inlineStr">
        <is>
          <t>Mobile</t>
        </is>
      </c>
      <c r="F46" s="17" t="inlineStr">
        <is>
          <t>/service-booking</t>
        </is>
      </c>
      <c r="G46" s="19" t="n">
        <v>10892</v>
      </c>
      <c r="H46" s="19" t="n">
        <v>641</v>
      </c>
      <c r="I46" s="20" t="n">
        <v>205.25</v>
      </c>
      <c r="J46" s="19" t="n">
        <v>71</v>
      </c>
      <c r="K46" s="20" t="n">
        <v>5880.24</v>
      </c>
      <c r="L46" s="21" t="n">
        <v>0.0589</v>
      </c>
      <c r="M46" s="20" t="n">
        <v>0.32</v>
      </c>
      <c r="N46" s="21" t="n">
        <v>0.1108</v>
      </c>
      <c r="O46" s="20" t="n">
        <v>2.89</v>
      </c>
      <c r="P46" s="21" t="n">
        <v>28.65</v>
      </c>
    </row>
    <row r="47" ht="22" customHeight="1">
      <c r="A47" s="16" t="inlineStr">
        <is>
          <t>2026-05-11</t>
        </is>
      </c>
      <c r="B47" s="16" t="inlineStr">
        <is>
          <t>Email</t>
        </is>
      </c>
      <c r="C47" s="16" t="inlineStr">
        <is>
          <t>Service Renewal</t>
        </is>
      </c>
      <c r="D47" s="16" t="inlineStr">
        <is>
          <t>Existing customers</t>
        </is>
      </c>
      <c r="E47" s="16" t="inlineStr">
        <is>
          <t>Desktop</t>
        </is>
      </c>
      <c r="F47" s="16" t="inlineStr">
        <is>
          <t>/service-booking</t>
        </is>
      </c>
      <c r="G47" s="22" t="n">
        <v>9855</v>
      </c>
      <c r="H47" s="22" t="n">
        <v>575</v>
      </c>
      <c r="I47" s="23" t="n">
        <v>182.07</v>
      </c>
      <c r="J47" s="22" t="n">
        <v>62</v>
      </c>
      <c r="K47" s="23" t="n">
        <v>4866.47</v>
      </c>
      <c r="L47" s="24" t="n">
        <v>0.0583</v>
      </c>
      <c r="M47" s="23" t="n">
        <v>0.32</v>
      </c>
      <c r="N47" s="24" t="n">
        <v>0.1078</v>
      </c>
      <c r="O47" s="23" t="n">
        <v>2.94</v>
      </c>
      <c r="P47" s="24" t="n">
        <v>26.73</v>
      </c>
    </row>
    <row r="48" ht="22" customHeight="1">
      <c r="A48" s="17" t="inlineStr">
        <is>
          <t>2026-05-11</t>
        </is>
      </c>
      <c r="B48" s="17" t="inlineStr">
        <is>
          <t>Display</t>
        </is>
      </c>
      <c r="C48" s="17" t="inlineStr">
        <is>
          <t>Store Locator Push</t>
        </is>
      </c>
      <c r="D48" s="17" t="inlineStr">
        <is>
          <t>Local prospects</t>
        </is>
      </c>
      <c r="E48" s="17" t="inlineStr">
        <is>
          <t>Mobile</t>
        </is>
      </c>
      <c r="F48" s="17" t="inlineStr">
        <is>
          <t>/store-locator</t>
        </is>
      </c>
      <c r="G48" s="19" t="n">
        <v>37684</v>
      </c>
      <c r="H48" s="19" t="n">
        <v>553</v>
      </c>
      <c r="I48" s="20" t="n">
        <v>746.1900000000001</v>
      </c>
      <c r="J48" s="19" t="n">
        <v>26</v>
      </c>
      <c r="K48" s="20" t="n">
        <v>1734.84</v>
      </c>
      <c r="L48" s="21" t="n">
        <v>0.0147</v>
      </c>
      <c r="M48" s="20" t="n">
        <v>1.35</v>
      </c>
      <c r="N48" s="21" t="n">
        <v>0.047</v>
      </c>
      <c r="O48" s="20" t="n">
        <v>28.7</v>
      </c>
      <c r="P48" s="21" t="n">
        <v>2.32</v>
      </c>
    </row>
    <row r="49" ht="22" customHeight="1">
      <c r="A49" s="16" t="inlineStr">
        <is>
          <t>2026-05-11</t>
        </is>
      </c>
      <c r="B49" s="16" t="inlineStr">
        <is>
          <t>Display</t>
        </is>
      </c>
      <c r="C49" s="16" t="inlineStr">
        <is>
          <t>Store Locator Push</t>
        </is>
      </c>
      <c r="D49" s="16" t="inlineStr">
        <is>
          <t>Local prospects</t>
        </is>
      </c>
      <c r="E49" s="16" t="inlineStr">
        <is>
          <t>Desktop</t>
        </is>
      </c>
      <c r="F49" s="16" t="inlineStr">
        <is>
          <t>/store-locator</t>
        </is>
      </c>
      <c r="G49" s="22" t="n">
        <v>34095</v>
      </c>
      <c r="H49" s="22" t="n">
        <v>495</v>
      </c>
      <c r="I49" s="23" t="n">
        <v>619.75</v>
      </c>
      <c r="J49" s="22" t="n">
        <v>24</v>
      </c>
      <c r="K49" s="23" t="n">
        <v>1540.71</v>
      </c>
      <c r="L49" s="24" t="n">
        <v>0.0145</v>
      </c>
      <c r="M49" s="23" t="n">
        <v>1.25</v>
      </c>
      <c r="N49" s="24" t="n">
        <v>0.0485</v>
      </c>
      <c r="O49" s="23" t="n">
        <v>25.82</v>
      </c>
      <c r="P49" s="24" t="n">
        <v>2.49</v>
      </c>
    </row>
    <row r="50" ht="22" customHeight="1"/>
    <row r="51" ht="22" customHeight="1"/>
    <row r="52" ht="22" customHeight="1"/>
    <row r="53" ht="22" customHeight="1"/>
    <row r="54" ht="22" customHeight="1"/>
    <row r="55" ht="22" customHeight="1"/>
    <row r="56" ht="22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  <row r="80" ht="22" customHeight="1"/>
    <row r="81" ht="22" customHeight="1"/>
    <row r="82" ht="22" customHeight="1"/>
    <row r="83" ht="22" customHeight="1"/>
    <row r="84" ht="22" customHeight="1"/>
    <row r="85" ht="22" customHeight="1"/>
    <row r="86" ht="22" customHeight="1"/>
    <row r="87" ht="22" customHeight="1"/>
    <row r="88" ht="22" customHeight="1"/>
    <row r="89" ht="22" customHeight="1"/>
    <row r="90" ht="22" customHeight="1"/>
    <row r="91" ht="22" customHeight="1"/>
    <row r="92" ht="22" customHeight="1"/>
    <row r="93" ht="22" customHeight="1"/>
    <row r="94" ht="22" customHeight="1"/>
    <row r="95" ht="22" customHeight="1"/>
    <row r="96" ht="22" customHeight="1"/>
    <row r="97" ht="22" customHeight="1"/>
    <row r="98" ht="22" customHeight="1"/>
    <row r="99" ht="22" customHeight="1"/>
    <row r="100" ht="22" customHeight="1"/>
    <row r="101" ht="22" customHeight="1"/>
    <row r="102" ht="22" customHeight="1"/>
    <row r="103" ht="22" customHeight="1"/>
    <row r="104" ht="22" customHeight="1"/>
    <row r="105" ht="22" customHeight="1"/>
    <row r="106" ht="22" customHeight="1"/>
    <row r="107" ht="22" customHeight="1"/>
    <row r="108" ht="22" customHeight="1"/>
    <row r="109" ht="22" customHeight="1"/>
    <row r="110" ht="22" customHeight="1"/>
    <row r="111" ht="22" customHeight="1"/>
    <row r="112" ht="22" customHeight="1"/>
    <row r="113" ht="22" customHeight="1"/>
    <row r="114" ht="22" customHeight="1"/>
    <row r="115" ht="22" customHeight="1"/>
    <row r="116" ht="22" customHeight="1"/>
    <row r="117" ht="22" customHeight="1"/>
    <row r="118" ht="22" customHeight="1"/>
    <row r="119" ht="22" customHeight="1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22"/>
  <cols>
    <col width="14" customWidth="1" min="1" max="1"/>
    <col width="14" customWidth="1" min="2" max="2"/>
    <col width="12" customWidth="1" min="3" max="3"/>
    <col width="14" customWidth="1" min="4" max="4"/>
    <col width="14" customWidth="1" min="5" max="5"/>
    <col width="14" customWidth="1" min="6" max="6"/>
    <col width="10" customWidth="1" min="7" max="7"/>
    <col width="12" customWidth="1" min="8" max="8"/>
    <col width="10" customWidth="1" min="9" max="9"/>
    <col width="12" customWidth="1" min="10" max="10"/>
  </cols>
  <sheetData>
    <row r="1" ht="34" customHeight="1">
      <c r="A1" s="1" t="inlineStr">
        <is>
          <t>Weekly Trend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4" customHeight="1">
      <c r="A2" s="2" t="inlineStr">
        <is>
          <t>Formula-driven six-week movement in spend, volume, revenue and efficiency.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 ht="22" customHeight="1">
      <c r="A4" s="15" t="inlineStr">
        <is>
          <t>Week</t>
        </is>
      </c>
      <c r="B4" s="15" t="inlineStr">
        <is>
          <t>Impressions</t>
        </is>
      </c>
      <c r="C4" s="15" t="inlineStr">
        <is>
          <t>Clicks</t>
        </is>
      </c>
      <c r="D4" s="15" t="inlineStr">
        <is>
          <t>Cost</t>
        </is>
      </c>
      <c r="E4" s="15" t="inlineStr">
        <is>
          <t>Conversions</t>
        </is>
      </c>
      <c r="F4" s="15" t="inlineStr">
        <is>
          <t>Revenue</t>
        </is>
      </c>
      <c r="G4" s="15" t="inlineStr">
        <is>
          <t>CTR</t>
        </is>
      </c>
      <c r="H4" s="15" t="inlineStr">
        <is>
          <t>CPA</t>
        </is>
      </c>
      <c r="I4" s="15" t="inlineStr">
        <is>
          <t>ROAS</t>
        </is>
      </c>
      <c r="J4" s="15" t="inlineStr">
        <is>
          <t>WoW Conv.</t>
        </is>
      </c>
    </row>
    <row r="5" ht="22" customHeight="1">
      <c r="A5" s="16" t="inlineStr">
        <is>
          <t>04-06</t>
        </is>
      </c>
      <c r="B5" s="16">
        <f>SUMIF('Source Data'!$A$2:$A$49,"2026-04-06",'Source Data'!$G$2:$G$49)</f>
        <v/>
      </c>
      <c r="C5" s="16">
        <f>SUMIF('Source Data'!$A$2:$A$49,"2026-04-06",'Source Data'!$H$2:$H$49)</f>
        <v/>
      </c>
      <c r="D5" s="25">
        <f>SUMIF('Source Data'!$A$2:$A$49,"2026-04-06",'Source Data'!$I$2:$I$49)</f>
        <v/>
      </c>
      <c r="E5" s="16">
        <f>SUMIF('Source Data'!$A$2:$A$49,"2026-04-06",'Source Data'!$J$2:$J$49)</f>
        <v/>
      </c>
      <c r="F5" s="25">
        <f>SUMIF('Source Data'!$A$2:$A$49,"2026-04-06",'Source Data'!$K$2:$K$49)</f>
        <v/>
      </c>
      <c r="G5" s="24">
        <f>IF(B5=0,0,C5/B5)</f>
        <v/>
      </c>
      <c r="H5" s="23">
        <f>IF(E5=0,0,D5/E5)</f>
        <v/>
      </c>
      <c r="I5" s="26">
        <f>IF(D5=0,0,F5/D5)</f>
        <v/>
      </c>
      <c r="J5" s="24" t="inlineStr"/>
    </row>
    <row r="6" ht="22" customHeight="1">
      <c r="A6" s="17" t="inlineStr">
        <is>
          <t>04-13</t>
        </is>
      </c>
      <c r="B6" s="17">
        <f>SUMIF('Source Data'!$A$2:$A$49,"2026-04-13",'Source Data'!$G$2:$G$49)</f>
        <v/>
      </c>
      <c r="C6" s="17">
        <f>SUMIF('Source Data'!$A$2:$A$49,"2026-04-13",'Source Data'!$H$2:$H$49)</f>
        <v/>
      </c>
      <c r="D6" s="27">
        <f>SUMIF('Source Data'!$A$2:$A$49,"2026-04-13",'Source Data'!$I$2:$I$49)</f>
        <v/>
      </c>
      <c r="E6" s="17">
        <f>SUMIF('Source Data'!$A$2:$A$49,"2026-04-13",'Source Data'!$J$2:$J$49)</f>
        <v/>
      </c>
      <c r="F6" s="27">
        <f>SUMIF('Source Data'!$A$2:$A$49,"2026-04-13",'Source Data'!$K$2:$K$49)</f>
        <v/>
      </c>
      <c r="G6" s="21">
        <f>IF(B6=0,0,C6/B6)</f>
        <v/>
      </c>
      <c r="H6" s="20">
        <f>IF(E6=0,0,D6/E6)</f>
        <v/>
      </c>
      <c r="I6" s="28">
        <f>IF(D6=0,0,F6/D6)</f>
        <v/>
      </c>
      <c r="J6" s="21">
        <f>IF(E5=0,0,E6/E5-1)</f>
        <v/>
      </c>
    </row>
    <row r="7" ht="22" customHeight="1">
      <c r="A7" s="16" t="inlineStr">
        <is>
          <t>04-20</t>
        </is>
      </c>
      <c r="B7" s="16">
        <f>SUMIF('Source Data'!$A$2:$A$49,"2026-04-20",'Source Data'!$G$2:$G$49)</f>
        <v/>
      </c>
      <c r="C7" s="16">
        <f>SUMIF('Source Data'!$A$2:$A$49,"2026-04-20",'Source Data'!$H$2:$H$49)</f>
        <v/>
      </c>
      <c r="D7" s="25">
        <f>SUMIF('Source Data'!$A$2:$A$49,"2026-04-20",'Source Data'!$I$2:$I$49)</f>
        <v/>
      </c>
      <c r="E7" s="16">
        <f>SUMIF('Source Data'!$A$2:$A$49,"2026-04-20",'Source Data'!$J$2:$J$49)</f>
        <v/>
      </c>
      <c r="F7" s="25">
        <f>SUMIF('Source Data'!$A$2:$A$49,"2026-04-20",'Source Data'!$K$2:$K$49)</f>
        <v/>
      </c>
      <c r="G7" s="24">
        <f>IF(B7=0,0,C7/B7)</f>
        <v/>
      </c>
      <c r="H7" s="23">
        <f>IF(E7=0,0,D7/E7)</f>
        <v/>
      </c>
      <c r="I7" s="26">
        <f>IF(D7=0,0,F7/D7)</f>
        <v/>
      </c>
      <c r="J7" s="24">
        <f>IF(E6=0,0,E7/E6-1)</f>
        <v/>
      </c>
    </row>
    <row r="8" ht="22" customHeight="1">
      <c r="A8" s="17" t="inlineStr">
        <is>
          <t>04-27</t>
        </is>
      </c>
      <c r="B8" s="17">
        <f>SUMIF('Source Data'!$A$2:$A$49,"2026-04-27",'Source Data'!$G$2:$G$49)</f>
        <v/>
      </c>
      <c r="C8" s="17">
        <f>SUMIF('Source Data'!$A$2:$A$49,"2026-04-27",'Source Data'!$H$2:$H$49)</f>
        <v/>
      </c>
      <c r="D8" s="27">
        <f>SUMIF('Source Data'!$A$2:$A$49,"2026-04-27",'Source Data'!$I$2:$I$49)</f>
        <v/>
      </c>
      <c r="E8" s="17">
        <f>SUMIF('Source Data'!$A$2:$A$49,"2026-04-27",'Source Data'!$J$2:$J$49)</f>
        <v/>
      </c>
      <c r="F8" s="27">
        <f>SUMIF('Source Data'!$A$2:$A$49,"2026-04-27",'Source Data'!$K$2:$K$49)</f>
        <v/>
      </c>
      <c r="G8" s="21">
        <f>IF(B8=0,0,C8/B8)</f>
        <v/>
      </c>
      <c r="H8" s="20">
        <f>IF(E8=0,0,D8/E8)</f>
        <v/>
      </c>
      <c r="I8" s="28">
        <f>IF(D8=0,0,F8/D8)</f>
        <v/>
      </c>
      <c r="J8" s="21">
        <f>IF(E7=0,0,E8/E7-1)</f>
        <v/>
      </c>
    </row>
    <row r="9" ht="22" customHeight="1">
      <c r="A9" s="16" t="inlineStr">
        <is>
          <t>05-04</t>
        </is>
      </c>
      <c r="B9" s="16">
        <f>SUMIF('Source Data'!$A$2:$A$49,"2026-05-04",'Source Data'!$G$2:$G$49)</f>
        <v/>
      </c>
      <c r="C9" s="16">
        <f>SUMIF('Source Data'!$A$2:$A$49,"2026-05-04",'Source Data'!$H$2:$H$49)</f>
        <v/>
      </c>
      <c r="D9" s="25">
        <f>SUMIF('Source Data'!$A$2:$A$49,"2026-05-04",'Source Data'!$I$2:$I$49)</f>
        <v/>
      </c>
      <c r="E9" s="16">
        <f>SUMIF('Source Data'!$A$2:$A$49,"2026-05-04",'Source Data'!$J$2:$J$49)</f>
        <v/>
      </c>
      <c r="F9" s="25">
        <f>SUMIF('Source Data'!$A$2:$A$49,"2026-05-04",'Source Data'!$K$2:$K$49)</f>
        <v/>
      </c>
      <c r="G9" s="24">
        <f>IF(B9=0,0,C9/B9)</f>
        <v/>
      </c>
      <c r="H9" s="23">
        <f>IF(E9=0,0,D9/E9)</f>
        <v/>
      </c>
      <c r="I9" s="26">
        <f>IF(D9=0,0,F9/D9)</f>
        <v/>
      </c>
      <c r="J9" s="24">
        <f>IF(E8=0,0,E9/E8-1)</f>
        <v/>
      </c>
    </row>
    <row r="10" ht="22" customHeight="1">
      <c r="A10" s="17" t="inlineStr">
        <is>
          <t>05-11</t>
        </is>
      </c>
      <c r="B10" s="17">
        <f>SUMIF('Source Data'!$A$2:$A$49,"2026-05-11",'Source Data'!$G$2:$G$49)</f>
        <v/>
      </c>
      <c r="C10" s="17">
        <f>SUMIF('Source Data'!$A$2:$A$49,"2026-05-11",'Source Data'!$H$2:$H$49)</f>
        <v/>
      </c>
      <c r="D10" s="27">
        <f>SUMIF('Source Data'!$A$2:$A$49,"2026-05-11",'Source Data'!$I$2:$I$49)</f>
        <v/>
      </c>
      <c r="E10" s="17">
        <f>SUMIF('Source Data'!$A$2:$A$49,"2026-05-11",'Source Data'!$J$2:$J$49)</f>
        <v/>
      </c>
      <c r="F10" s="27">
        <f>SUMIF('Source Data'!$A$2:$A$49,"2026-05-11",'Source Data'!$K$2:$K$49)</f>
        <v/>
      </c>
      <c r="G10" s="21">
        <f>IF(B10=0,0,C10/B10)</f>
        <v/>
      </c>
      <c r="H10" s="20">
        <f>IF(E10=0,0,D10/E10)</f>
        <v/>
      </c>
      <c r="I10" s="28">
        <f>IF(D10=0,0,F10/D10)</f>
        <v/>
      </c>
      <c r="J10" s="21">
        <f>IF(E9=0,0,E10/E9-1)</f>
        <v/>
      </c>
    </row>
    <row r="11" ht="22" customHeight="1"/>
    <row r="12" ht="22" customHeight="1"/>
    <row r="13" ht="22" customHeight="1"/>
    <row r="14" ht="22" customHeight="1"/>
    <row r="15" ht="22" customHeight="1"/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22" customHeight="1"/>
    <row r="24" ht="22" customHeight="1"/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  <row r="33" ht="22" customHeight="1"/>
    <row r="34" ht="22" customHeight="1"/>
    <row r="35" ht="22" customHeight="1"/>
    <row r="36" ht="22" customHeight="1"/>
    <row r="37" ht="22" customHeight="1"/>
    <row r="38" ht="22" customHeight="1"/>
    <row r="39" ht="22" customHeight="1"/>
    <row r="40" ht="22" customHeight="1"/>
    <row r="41" ht="22" customHeight="1"/>
    <row r="42" ht="22" customHeight="1"/>
    <row r="43" ht="22" customHeight="1"/>
    <row r="44" ht="22" customHeight="1"/>
    <row r="45" ht="22" customHeight="1"/>
    <row r="46" ht="22" customHeight="1"/>
    <row r="47" ht="22" customHeight="1"/>
    <row r="48" ht="22" customHeight="1"/>
    <row r="49" ht="22" customHeight="1"/>
    <row r="50" ht="22" customHeight="1"/>
    <row r="51" ht="22" customHeight="1"/>
    <row r="52" ht="22" customHeight="1"/>
    <row r="53" ht="22" customHeight="1"/>
    <row r="54" ht="22" customHeight="1"/>
    <row r="55" ht="22" customHeight="1"/>
    <row r="56" ht="22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  <row r="80" ht="22" customHeight="1"/>
    <row r="81" ht="22" customHeight="1"/>
    <row r="82" ht="22" customHeight="1"/>
    <row r="83" ht="22" customHeight="1"/>
    <row r="84" ht="22" customHeight="1"/>
    <row r="85" ht="22" customHeight="1"/>
    <row r="86" ht="22" customHeight="1"/>
    <row r="87" ht="22" customHeight="1"/>
    <row r="88" ht="22" customHeight="1"/>
    <row r="89" ht="22" customHeight="1"/>
    <row r="90" ht="22" customHeight="1"/>
    <row r="91" ht="22" customHeight="1"/>
    <row r="92" ht="22" customHeight="1"/>
    <row r="93" ht="22" customHeight="1"/>
    <row r="94" ht="22" customHeight="1"/>
    <row r="95" ht="22" customHeight="1"/>
    <row r="96" ht="22" customHeight="1"/>
    <row r="97" ht="22" customHeight="1"/>
    <row r="98" ht="22" customHeight="1"/>
    <row r="99" ht="22" customHeight="1"/>
    <row r="100" ht="22" customHeight="1"/>
    <row r="101" ht="22" customHeight="1"/>
    <row r="102" ht="22" customHeight="1"/>
    <row r="103" ht="22" customHeight="1"/>
    <row r="104" ht="22" customHeight="1"/>
    <row r="105" ht="22" customHeight="1"/>
    <row r="106" ht="22" customHeight="1"/>
    <row r="107" ht="22" customHeight="1"/>
    <row r="108" ht="22" customHeight="1"/>
    <row r="109" ht="22" customHeight="1"/>
    <row r="110" ht="22" customHeight="1"/>
    <row r="111" ht="22" customHeight="1"/>
    <row r="112" ht="22" customHeight="1"/>
    <row r="113" ht="22" customHeight="1"/>
    <row r="114" ht="22" customHeight="1"/>
    <row r="115" ht="22" customHeight="1"/>
    <row r="116" ht="22" customHeight="1"/>
    <row r="117" ht="22" customHeight="1"/>
    <row r="118" ht="22" customHeight="1"/>
    <row r="119" ht="22" customHeight="1"/>
  </sheetData>
  <mergeCells count="2">
    <mergeCell ref="A1:J1"/>
    <mergeCell ref="A2:J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22"/>
  <cols>
    <col width="18" customWidth="1" min="1" max="1"/>
    <col width="14" customWidth="1" min="2" max="2"/>
    <col width="12" customWidth="1" min="3" max="3"/>
    <col width="14" customWidth="1" min="4" max="4"/>
    <col width="14" customWidth="1" min="5" max="5"/>
    <col width="15" customWidth="1" min="6" max="6"/>
    <col width="10" customWidth="1" min="7" max="7"/>
    <col width="12" customWidth="1" min="8" max="8"/>
    <col width="10" customWidth="1" min="9" max="9"/>
    <col width="18" customWidth="1" min="10" max="10"/>
    <col width="44" customWidth="1" min="11" max="11"/>
  </cols>
  <sheetData>
    <row r="1" ht="34" customHeight="1">
      <c r="A1" s="1" t="inlineStr">
        <is>
          <t>Channel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4" customHeight="1">
      <c r="A2" s="2" t="inlineStr">
        <is>
          <t>Performance split by acquisition role, volume, economics and budget signal.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 ht="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 ht="22" customHeight="1">
      <c r="A4" s="15" t="inlineStr">
        <is>
          <t>Channel</t>
        </is>
      </c>
      <c r="B4" s="15" t="inlineStr">
        <is>
          <t>Impressions</t>
        </is>
      </c>
      <c r="C4" s="15" t="inlineStr">
        <is>
          <t>Clicks</t>
        </is>
      </c>
      <c r="D4" s="15" t="inlineStr">
        <is>
          <t>Cost</t>
        </is>
      </c>
      <c r="E4" s="15" t="inlineStr">
        <is>
          <t>Conversions</t>
        </is>
      </c>
      <c r="F4" s="15" t="inlineStr">
        <is>
          <t>Revenue</t>
        </is>
      </c>
      <c r="G4" s="15" t="inlineStr">
        <is>
          <t>CTR</t>
        </is>
      </c>
      <c r="H4" s="15" t="inlineStr">
        <is>
          <t>CPA</t>
        </is>
      </c>
      <c r="I4" s="15" t="inlineStr">
        <is>
          <t>ROAS</t>
        </is>
      </c>
      <c r="J4" s="15" t="inlineStr">
        <is>
          <t>Budget Signal</t>
        </is>
      </c>
      <c r="K4" s="15" t="inlineStr">
        <is>
          <t>Readout</t>
        </is>
      </c>
    </row>
    <row r="5" ht="22" customHeight="1">
      <c r="A5" s="16" t="inlineStr">
        <is>
          <t>Email</t>
        </is>
      </c>
      <c r="B5" s="22">
        <f>SUMIF('Source Data'!$B$2:$B$49,$A5,'Source Data'!$G$2:$G$49)</f>
        <v/>
      </c>
      <c r="C5" s="22">
        <f>SUMIF('Source Data'!$B$2:$B$49,$A5,'Source Data'!$H$2:$H$49)</f>
        <v/>
      </c>
      <c r="D5" s="23">
        <f>SUMIF('Source Data'!$B$2:$B$49,$A5,'Source Data'!$I$2:$I$49)</f>
        <v/>
      </c>
      <c r="E5" s="22">
        <f>SUMIF('Source Data'!$B$2:$B$49,$A5,'Source Data'!$J$2:$J$49)</f>
        <v/>
      </c>
      <c r="F5" s="23">
        <f>SUMIF('Source Data'!$B$2:$B$49,$A5,'Source Data'!$K$2:$K$49)</f>
        <v/>
      </c>
      <c r="G5" s="24">
        <f>IF(B5=0,0,C5/B5)</f>
        <v/>
      </c>
      <c r="H5" s="23">
        <f>IF(E5=0,0,D5/E5)</f>
        <v/>
      </c>
      <c r="I5" s="26">
        <f>IF(D5=0,0,F5/D5)</f>
        <v/>
      </c>
      <c r="J5" s="16">
        <f>IF(I5&gt;=6,"Scale / defend",IF(I5&gt;=4,"Optimize","Diagnose"))</f>
        <v/>
      </c>
      <c r="K5" s="16" t="inlineStr">
        <is>
          <t>Retention list is the strongest economics engine.</t>
        </is>
      </c>
    </row>
    <row r="6" ht="22" customHeight="1">
      <c r="A6" s="17" t="inlineStr">
        <is>
          <t>Paid Search</t>
        </is>
      </c>
      <c r="B6" s="19">
        <f>SUMIF('Source Data'!$B$2:$B$49,$A6,'Source Data'!$G$2:$G$49)</f>
        <v/>
      </c>
      <c r="C6" s="19">
        <f>SUMIF('Source Data'!$B$2:$B$49,$A6,'Source Data'!$H$2:$H$49)</f>
        <v/>
      </c>
      <c r="D6" s="20">
        <f>SUMIF('Source Data'!$B$2:$B$49,$A6,'Source Data'!$I$2:$I$49)</f>
        <v/>
      </c>
      <c r="E6" s="19">
        <f>SUMIF('Source Data'!$B$2:$B$49,$A6,'Source Data'!$J$2:$J$49)</f>
        <v/>
      </c>
      <c r="F6" s="20">
        <f>SUMIF('Source Data'!$B$2:$B$49,$A6,'Source Data'!$K$2:$K$49)</f>
        <v/>
      </c>
      <c r="G6" s="21">
        <f>IF(B6=0,0,C6/B6)</f>
        <v/>
      </c>
      <c r="H6" s="20">
        <f>IF(E6=0,0,D6/E6)</f>
        <v/>
      </c>
      <c r="I6" s="28">
        <f>IF(D6=0,0,F6/D6)</f>
        <v/>
      </c>
      <c r="J6" s="17">
        <f>IF(I6&gt;=6,"Scale / defend",IF(I6&gt;=4,"Optimize","Diagnose"))</f>
        <v/>
      </c>
      <c r="K6" s="17" t="inlineStr">
        <is>
          <t>High-intent traffic carries scalable conversion volume.</t>
        </is>
      </c>
    </row>
    <row r="7" ht="22" customHeight="1">
      <c r="A7" s="16" t="inlineStr">
        <is>
          <t>Paid Social</t>
        </is>
      </c>
      <c r="B7" s="22">
        <f>SUMIF('Source Data'!$B$2:$B$49,$A7,'Source Data'!$G$2:$G$49)</f>
        <v/>
      </c>
      <c r="C7" s="22">
        <f>SUMIF('Source Data'!$B$2:$B$49,$A7,'Source Data'!$H$2:$H$49)</f>
        <v/>
      </c>
      <c r="D7" s="23">
        <f>SUMIF('Source Data'!$B$2:$B$49,$A7,'Source Data'!$I$2:$I$49)</f>
        <v/>
      </c>
      <c r="E7" s="22">
        <f>SUMIF('Source Data'!$B$2:$B$49,$A7,'Source Data'!$J$2:$J$49)</f>
        <v/>
      </c>
      <c r="F7" s="23">
        <f>SUMIF('Source Data'!$B$2:$B$49,$A7,'Source Data'!$K$2:$K$49)</f>
        <v/>
      </c>
      <c r="G7" s="24">
        <f>IF(B7=0,0,C7/B7)</f>
        <v/>
      </c>
      <c r="H7" s="23">
        <f>IF(E7=0,0,D7/E7)</f>
        <v/>
      </c>
      <c r="I7" s="26">
        <f>IF(D7=0,0,F7/D7)</f>
        <v/>
      </c>
      <c r="J7" s="16">
        <f>IF(I7&gt;=6,"Scale / defend",IF(I7&gt;=4,"Optimize","Diagnose"))</f>
        <v/>
      </c>
      <c r="K7" s="16" t="inlineStr">
        <is>
          <t>Awareness traffic works but needs tighter audience proof.</t>
        </is>
      </c>
    </row>
    <row r="8" ht="22" customHeight="1">
      <c r="A8" s="17" t="inlineStr">
        <is>
          <t>Display</t>
        </is>
      </c>
      <c r="B8" s="19">
        <f>SUMIF('Source Data'!$B$2:$B$49,$A8,'Source Data'!$G$2:$G$49)</f>
        <v/>
      </c>
      <c r="C8" s="19">
        <f>SUMIF('Source Data'!$B$2:$B$49,$A8,'Source Data'!$H$2:$H$49)</f>
        <v/>
      </c>
      <c r="D8" s="20">
        <f>SUMIF('Source Data'!$B$2:$B$49,$A8,'Source Data'!$I$2:$I$49)</f>
        <v/>
      </c>
      <c r="E8" s="19">
        <f>SUMIF('Source Data'!$B$2:$B$49,$A8,'Source Data'!$J$2:$J$49)</f>
        <v/>
      </c>
      <c r="F8" s="20">
        <f>SUMIF('Source Data'!$B$2:$B$49,$A8,'Source Data'!$K$2:$K$49)</f>
        <v/>
      </c>
      <c r="G8" s="21">
        <f>IF(B8=0,0,C8/B8)</f>
        <v/>
      </c>
      <c r="H8" s="20">
        <f>IF(E8=0,0,D8/E8)</f>
        <v/>
      </c>
      <c r="I8" s="28">
        <f>IF(D8=0,0,F8/D8)</f>
        <v/>
      </c>
      <c r="J8" s="17">
        <f>IF(I8&gt;=6,"Scale / defend",IF(I8&gt;=4,"Optimize","Diagnose"))</f>
        <v/>
      </c>
      <c r="K8" s="17" t="inlineStr">
        <is>
          <t>Traffic quality and landing intent need diagnosis before scale.</t>
        </is>
      </c>
    </row>
    <row r="9" ht="22" customHeight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</row>
    <row r="10" ht="22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</row>
    <row r="11" ht="22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 ht="22" customHeight="1">
      <c r="A12" s="29" t="inlineStr">
        <is>
          <t>Device Readout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</row>
    <row r="13" ht="22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 ht="22" customHeight="1">
      <c r="A14" s="15" t="inlineStr">
        <is>
          <t>Device</t>
        </is>
      </c>
      <c r="B14" s="15" t="inlineStr">
        <is>
          <t>Clicks</t>
        </is>
      </c>
      <c r="C14" s="15" t="inlineStr">
        <is>
          <t>Conversions</t>
        </is>
      </c>
      <c r="D14" s="15" t="inlineStr">
        <is>
          <t>Conversion Rate</t>
        </is>
      </c>
      <c r="E14" s="15" t="inlineStr">
        <is>
          <t>CPA</t>
        </is>
      </c>
      <c r="F14" s="15" t="inlineStr">
        <is>
          <t>ROAS</t>
        </is>
      </c>
      <c r="G14" s="8" t="n"/>
      <c r="H14" s="8" t="n"/>
      <c r="I14" s="8" t="n"/>
      <c r="J14" s="8" t="n"/>
      <c r="K14" s="8" t="n"/>
    </row>
    <row r="15" ht="22" customHeight="1">
      <c r="A15" s="16" t="inlineStr">
        <is>
          <t>Desktop</t>
        </is>
      </c>
      <c r="B15" s="16">
        <f>SUMIF('Source Data'!$E$2:$E$49,$A15,'Source Data'!$H$2:$H$49)</f>
        <v/>
      </c>
      <c r="C15" s="16">
        <f>SUMIF('Source Data'!$E$2:$E$49,$A15,'Source Data'!$J$2:$J$49)</f>
        <v/>
      </c>
      <c r="D15" s="16">
        <f>IF(B15=0,0,C15/B15)</f>
        <v/>
      </c>
      <c r="E15" s="16">
        <f>IF(C15=0,0,SUMIF('Source Data'!$E$2:$E$49,$A15,'Source Data'!$I$2:$I$49)/C15)</f>
        <v/>
      </c>
      <c r="F15" s="16">
        <f>IF(SUMIF('Source Data'!$E$2:$E$49,$A15,'Source Data'!$I$2:$I$49)=0,0,SUMIF('Source Data'!$E$2:$E$49,$A15,'Source Data'!$K$2:$K$49)/SUMIF('Source Data'!$E$2:$E$49,$A15,'Source Data'!$I$2:$I$49))</f>
        <v/>
      </c>
      <c r="G15" s="8" t="n"/>
      <c r="H15" s="8" t="n"/>
      <c r="I15" s="8" t="n"/>
      <c r="J15" s="8" t="n"/>
      <c r="K15" s="8" t="n"/>
    </row>
    <row r="16" ht="22" customHeight="1">
      <c r="A16" s="17" t="inlineStr">
        <is>
          <t>Mobile</t>
        </is>
      </c>
      <c r="B16" s="17">
        <f>SUMIF('Source Data'!$E$2:$E$49,$A16,'Source Data'!$H$2:$H$49)</f>
        <v/>
      </c>
      <c r="C16" s="17">
        <f>SUMIF('Source Data'!$E$2:$E$49,$A16,'Source Data'!$J$2:$J$49)</f>
        <v/>
      </c>
      <c r="D16" s="17">
        <f>IF(B16=0,0,C16/B16)</f>
        <v/>
      </c>
      <c r="E16" s="17">
        <f>IF(C16=0,0,SUMIF('Source Data'!$E$2:$E$49,$A16,'Source Data'!$I$2:$I$49)/C16)</f>
        <v/>
      </c>
      <c r="F16" s="17">
        <f>IF(SUMIF('Source Data'!$E$2:$E$49,$A16,'Source Data'!$I$2:$I$49)=0,0,SUMIF('Source Data'!$E$2:$E$49,$A16,'Source Data'!$K$2:$K$49)/SUMIF('Source Data'!$E$2:$E$49,$A16,'Source Data'!$I$2:$I$49))</f>
        <v/>
      </c>
      <c r="G16" s="8" t="n"/>
      <c r="H16" s="8" t="n"/>
      <c r="I16" s="8" t="n"/>
      <c r="J16" s="8" t="n"/>
      <c r="K16" s="8" t="n"/>
    </row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22" customHeight="1"/>
    <row r="24" ht="22" customHeight="1"/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  <row r="33" ht="22" customHeight="1"/>
    <row r="34" ht="22" customHeight="1"/>
    <row r="35" ht="22" customHeight="1"/>
    <row r="36" ht="22" customHeight="1"/>
    <row r="37" ht="22" customHeight="1"/>
    <row r="38" ht="22" customHeight="1"/>
    <row r="39" ht="22" customHeight="1"/>
    <row r="40" ht="22" customHeight="1"/>
    <row r="41" ht="22" customHeight="1"/>
    <row r="42" ht="22" customHeight="1"/>
    <row r="43" ht="22" customHeight="1"/>
    <row r="44" ht="22" customHeight="1"/>
    <row r="45" ht="22" customHeight="1"/>
    <row r="46" ht="22" customHeight="1"/>
    <row r="47" ht="22" customHeight="1"/>
    <row r="48" ht="22" customHeight="1"/>
    <row r="49" ht="22" customHeight="1"/>
    <row r="50" ht="22" customHeight="1"/>
    <row r="51" ht="22" customHeight="1"/>
    <row r="52" ht="22" customHeight="1"/>
    <row r="53" ht="22" customHeight="1"/>
    <row r="54" ht="22" customHeight="1"/>
    <row r="55" ht="22" customHeight="1"/>
    <row r="56" ht="22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  <row r="80" ht="22" customHeight="1"/>
    <row r="81" ht="22" customHeight="1"/>
    <row r="82" ht="22" customHeight="1"/>
    <row r="83" ht="22" customHeight="1"/>
    <row r="84" ht="22" customHeight="1"/>
    <row r="85" ht="22" customHeight="1"/>
    <row r="86" ht="22" customHeight="1"/>
    <row r="87" ht="22" customHeight="1"/>
    <row r="88" ht="22" customHeight="1"/>
    <row r="89" ht="22" customHeight="1"/>
    <row r="90" ht="22" customHeight="1"/>
    <row r="91" ht="22" customHeight="1"/>
    <row r="92" ht="22" customHeight="1"/>
    <row r="93" ht="22" customHeight="1"/>
    <row r="94" ht="22" customHeight="1"/>
    <row r="95" ht="22" customHeight="1"/>
    <row r="96" ht="22" customHeight="1"/>
    <row r="97" ht="22" customHeight="1"/>
    <row r="98" ht="22" customHeight="1"/>
    <row r="99" ht="22" customHeight="1"/>
    <row r="100" ht="22" customHeight="1"/>
    <row r="101" ht="22" customHeight="1"/>
    <row r="102" ht="22" customHeight="1"/>
    <row r="103" ht="22" customHeight="1"/>
    <row r="104" ht="22" customHeight="1"/>
    <row r="105" ht="22" customHeight="1"/>
    <row r="106" ht="22" customHeight="1"/>
    <row r="107" ht="22" customHeight="1"/>
    <row r="108" ht="22" customHeight="1"/>
    <row r="109" ht="22" customHeight="1"/>
    <row r="110" ht="22" customHeight="1"/>
    <row r="111" ht="22" customHeight="1"/>
    <row r="112" ht="22" customHeight="1"/>
    <row r="113" ht="22" customHeight="1"/>
    <row r="114" ht="22" customHeight="1"/>
    <row r="115" ht="22" customHeight="1"/>
    <row r="116" ht="22" customHeight="1"/>
    <row r="117" ht="22" customHeight="1"/>
    <row r="118" ht="22" customHeight="1"/>
    <row r="119" ht="22" customHeight="1"/>
  </sheetData>
  <mergeCells count="2">
    <mergeCell ref="A2:K2"/>
    <mergeCell ref="A1:K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22"/>
  <cols>
    <col width="18" customWidth="1" min="1" max="1"/>
    <col width="12" customWidth="1" min="2" max="2"/>
    <col width="12" customWidth="1" min="3" max="3"/>
    <col width="12" customWidth="1" min="4" max="4"/>
    <col width="13" customWidth="1" min="5" max="5"/>
    <col width="13" customWidth="1" min="6" max="6"/>
    <col width="14" customWidth="1" min="7" max="7"/>
    <col width="12" customWidth="1" min="8" max="8"/>
    <col width="36" customWidth="1" min="9" max="9"/>
    <col width="42" customWidth="1" min="10" max="10"/>
    <col width="13" customWidth="1" min="11" max="11"/>
  </cols>
  <sheetData>
    <row r="1" ht="34" customHeight="1">
      <c r="A1" s="1" t="inlineStr">
        <is>
          <t>Landing Pages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8" t="n"/>
    </row>
    <row r="2" ht="24" customHeight="1">
      <c r="A2" s="2" t="inlineStr">
        <is>
          <t>Page experience action center with friction, recommendation and owner-ready status.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8" t="n"/>
    </row>
    <row r="3" ht="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8" t="n"/>
    </row>
    <row r="4" ht="22" customHeight="1">
      <c r="A4" s="15" t="inlineStr">
        <is>
          <t>Landing Page</t>
        </is>
      </c>
      <c r="B4" s="15" t="inlineStr">
        <is>
          <t>Device</t>
        </is>
      </c>
      <c r="C4" s="15" t="inlineStr">
        <is>
          <t>Sessions</t>
        </is>
      </c>
      <c r="D4" s="15" t="inlineStr">
        <is>
          <t>Bounce Rate</t>
        </is>
      </c>
      <c r="E4" s="15" t="inlineStr">
        <is>
          <t>Avg. Duration</t>
        </is>
      </c>
      <c r="F4" s="15" t="inlineStr">
        <is>
          <t>Conversions</t>
        </is>
      </c>
      <c r="G4" s="15" t="inlineStr">
        <is>
          <t>Revenue</t>
        </is>
      </c>
      <c r="H4" s="15" t="inlineStr">
        <is>
          <t>Conv. Rate</t>
        </is>
      </c>
      <c r="I4" s="15" t="inlineStr">
        <is>
          <t>Primary Issue</t>
        </is>
      </c>
      <c r="J4" s="15" t="inlineStr">
        <is>
          <t>Recommendation</t>
        </is>
      </c>
      <c r="K4" s="15" t="inlineStr">
        <is>
          <t>Status</t>
        </is>
      </c>
    </row>
    <row r="5" ht="34" customHeight="1">
      <c r="A5" s="16" t="inlineStr">
        <is>
          <t>/service-booking</t>
        </is>
      </c>
      <c r="B5" s="16" t="inlineStr">
        <is>
          <t>Mobile</t>
        </is>
      </c>
      <c r="C5" s="16" t="n">
        <v>3946</v>
      </c>
      <c r="D5" s="24" t="n">
        <v>0.29</v>
      </c>
      <c r="E5" s="16" t="n">
        <v>155</v>
      </c>
      <c r="F5" s="16" t="n">
        <v>393</v>
      </c>
      <c r="G5" s="25" t="n">
        <v>33838.18</v>
      </c>
      <c r="H5" s="24" t="n">
        <v>0.09959999999999999</v>
      </c>
      <c r="I5" s="16" t="inlineStr">
        <is>
          <t>Strong conversion, low CPC</t>
        </is>
      </c>
      <c r="J5" s="16" t="inlineStr">
        <is>
          <t>Protect email list quality and test SMS reminder</t>
        </is>
      </c>
      <c r="K5" s="30" t="inlineStr">
        <is>
          <t>Protect</t>
        </is>
      </c>
    </row>
    <row r="6" ht="34" customHeight="1">
      <c r="A6" s="17" t="inlineStr">
        <is>
          <t>/service-booking</t>
        </is>
      </c>
      <c r="B6" s="17" t="inlineStr">
        <is>
          <t>Desktop</t>
        </is>
      </c>
      <c r="C6" s="17" t="n">
        <v>3997</v>
      </c>
      <c r="D6" s="21" t="n">
        <v>0.25</v>
      </c>
      <c r="E6" s="17" t="n">
        <v>181</v>
      </c>
      <c r="F6" s="17" t="n">
        <v>374</v>
      </c>
      <c r="G6" s="27" t="n">
        <v>30728.18</v>
      </c>
      <c r="H6" s="21" t="n">
        <v>0.0936</v>
      </c>
      <c r="I6" s="17" t="inlineStr">
        <is>
          <t>Strong conversion, low CPC</t>
        </is>
      </c>
      <c r="J6" s="17" t="inlineStr">
        <is>
          <t>Protect email list quality and test SMS reminder</t>
        </is>
      </c>
      <c r="K6" s="30" t="inlineStr">
        <is>
          <t>Protect</t>
        </is>
      </c>
    </row>
    <row r="7" ht="34" customHeight="1">
      <c r="A7" s="16" t="inlineStr">
        <is>
          <t>/promo</t>
        </is>
      </c>
      <c r="B7" s="16" t="inlineStr">
        <is>
          <t>Desktop</t>
        </is>
      </c>
      <c r="C7" s="16" t="n">
        <v>6195</v>
      </c>
      <c r="D7" s="24" t="n">
        <v>0.34</v>
      </c>
      <c r="E7" s="16" t="n">
        <v>138</v>
      </c>
      <c r="F7" s="16" t="n">
        <v>534</v>
      </c>
      <c r="G7" s="25" t="n">
        <v>45450.25</v>
      </c>
      <c r="H7" s="24" t="n">
        <v>0.0862</v>
      </c>
      <c r="I7" s="16" t="inlineStr">
        <is>
          <t>Good traffic, slightly weaker checkout completion</t>
        </is>
      </c>
      <c r="J7" s="16" t="inlineStr">
        <is>
          <t>Keep budget stable and test shorter mobile form</t>
        </is>
      </c>
      <c r="K7" s="31" t="inlineStr">
        <is>
          <t>Optimize</t>
        </is>
      </c>
    </row>
    <row r="8" ht="34" customHeight="1">
      <c r="A8" s="17" t="inlineStr">
        <is>
          <t>/promo</t>
        </is>
      </c>
      <c r="B8" s="17" t="inlineStr">
        <is>
          <t>Mobile</t>
        </is>
      </c>
      <c r="C8" s="17" t="n">
        <v>7616</v>
      </c>
      <c r="D8" s="21" t="n">
        <v>0.38</v>
      </c>
      <c r="E8" s="17" t="n">
        <v>112</v>
      </c>
      <c r="F8" s="17" t="n">
        <v>621</v>
      </c>
      <c r="G8" s="27" t="n">
        <v>53558.1</v>
      </c>
      <c r="H8" s="21" t="n">
        <v>0.0815</v>
      </c>
      <c r="I8" s="17" t="inlineStr">
        <is>
          <t>Good traffic, slightly weaker checkout completion</t>
        </is>
      </c>
      <c r="J8" s="17" t="inlineStr">
        <is>
          <t>Keep budget stable and test shorter mobile form</t>
        </is>
      </c>
      <c r="K8" s="31" t="inlineStr">
        <is>
          <t>Optimize</t>
        </is>
      </c>
    </row>
    <row r="9" ht="34" customHeight="1">
      <c r="A9" s="16" t="inlineStr">
        <is>
          <t>/collection</t>
        </is>
      </c>
      <c r="B9" s="16" t="inlineStr">
        <is>
          <t>Mobile</t>
        </is>
      </c>
      <c r="C9" s="16" t="n">
        <v>5894</v>
      </c>
      <c r="D9" s="24" t="n">
        <v>0.47</v>
      </c>
      <c r="E9" s="16" t="n">
        <v>83</v>
      </c>
      <c r="F9" s="16" t="n">
        <v>291</v>
      </c>
      <c r="G9" s="25" t="n">
        <v>20358.99</v>
      </c>
      <c r="H9" s="24" t="n">
        <v>0.0494</v>
      </c>
      <c r="I9" s="16" t="inlineStr">
        <is>
          <t>Awareness traffic converts below search and email</t>
        </is>
      </c>
      <c r="J9" s="16" t="inlineStr">
        <is>
          <t>Tighten audience and add product proof above the fold</t>
        </is>
      </c>
      <c r="K9" s="32" t="inlineStr">
        <is>
          <t>Fix page</t>
        </is>
      </c>
    </row>
    <row r="10" ht="34" customHeight="1">
      <c r="A10" s="17" t="inlineStr">
        <is>
          <t>/store-locator</t>
        </is>
      </c>
      <c r="B10" s="17" t="inlineStr">
        <is>
          <t>Desktop</t>
        </is>
      </c>
      <c r="C10" s="17" t="n">
        <v>2961</v>
      </c>
      <c r="D10" s="21" t="n">
        <v>0.48</v>
      </c>
      <c r="E10" s="17" t="n">
        <v>84</v>
      </c>
      <c r="F10" s="17" t="n">
        <v>143</v>
      </c>
      <c r="G10" s="27" t="n">
        <v>9245.41</v>
      </c>
      <c r="H10" s="21" t="n">
        <v>0.0483</v>
      </c>
      <c r="I10" s="17" t="inlineStr">
        <is>
          <t>High bounce and low CTR</t>
        </is>
      </c>
      <c r="J10" s="17" t="inlineStr">
        <is>
          <t>Improve local relevance and page speed on mobile</t>
        </is>
      </c>
      <c r="K10" s="32" t="inlineStr">
        <is>
          <t>Fix page</t>
        </is>
      </c>
    </row>
    <row r="11" ht="34" customHeight="1">
      <c r="A11" s="16" t="inlineStr">
        <is>
          <t>/collection</t>
        </is>
      </c>
      <c r="B11" s="16" t="inlineStr">
        <is>
          <t>Desktop</t>
        </is>
      </c>
      <c r="C11" s="16" t="n">
        <v>5325</v>
      </c>
      <c r="D11" s="24" t="n">
        <v>0.43</v>
      </c>
      <c r="E11" s="16" t="n">
        <v>109</v>
      </c>
      <c r="F11" s="16" t="n">
        <v>251</v>
      </c>
      <c r="G11" s="25" t="n">
        <v>19448.76</v>
      </c>
      <c r="H11" s="24" t="n">
        <v>0.0471</v>
      </c>
      <c r="I11" s="16" t="inlineStr">
        <is>
          <t>Awareness traffic converts below search and email</t>
        </is>
      </c>
      <c r="J11" s="16" t="inlineStr">
        <is>
          <t>Tighten audience and add product proof above the fold</t>
        </is>
      </c>
      <c r="K11" s="31" t="inlineStr">
        <is>
          <t>Optimize</t>
        </is>
      </c>
    </row>
    <row r="12" ht="34" customHeight="1">
      <c r="A12" s="17" t="inlineStr">
        <is>
          <t>/store-locator</t>
        </is>
      </c>
      <c r="B12" s="17" t="inlineStr">
        <is>
          <t>Mobile</t>
        </is>
      </c>
      <c r="C12" s="17" t="n">
        <v>3587</v>
      </c>
      <c r="D12" s="21" t="n">
        <v>0.52</v>
      </c>
      <c r="E12" s="17" t="n">
        <v>58</v>
      </c>
      <c r="F12" s="17" t="n">
        <v>149</v>
      </c>
      <c r="G12" s="27" t="n">
        <v>10792.28</v>
      </c>
      <c r="H12" s="21" t="n">
        <v>0.0415</v>
      </c>
      <c r="I12" s="17" t="inlineStr">
        <is>
          <t>High bounce and low CTR</t>
        </is>
      </c>
      <c r="J12" s="17" t="inlineStr">
        <is>
          <t>Improve local relevance and page speed on mobile</t>
        </is>
      </c>
      <c r="K12" s="32" t="inlineStr">
        <is>
          <t>Fix page</t>
        </is>
      </c>
    </row>
    <row r="13" ht="22" customHeight="1"/>
    <row r="14" ht="22" customHeight="1"/>
    <row r="15" ht="22" customHeight="1"/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22" customHeight="1"/>
    <row r="24" ht="22" customHeight="1"/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  <row r="33" ht="22" customHeight="1"/>
    <row r="34" ht="22" customHeight="1"/>
    <row r="35" ht="22" customHeight="1"/>
    <row r="36" ht="22" customHeight="1"/>
    <row r="37" ht="22" customHeight="1"/>
    <row r="38" ht="22" customHeight="1"/>
    <row r="39" ht="22" customHeight="1"/>
    <row r="40" ht="22" customHeight="1"/>
    <row r="41" ht="22" customHeight="1"/>
    <row r="42" ht="22" customHeight="1"/>
    <row r="43" ht="22" customHeight="1"/>
    <row r="44" ht="22" customHeight="1"/>
    <row r="45" ht="22" customHeight="1"/>
    <row r="46" ht="22" customHeight="1"/>
    <row r="47" ht="22" customHeight="1"/>
    <row r="48" ht="22" customHeight="1"/>
    <row r="49" ht="22" customHeight="1"/>
    <row r="50" ht="22" customHeight="1"/>
    <row r="51" ht="22" customHeight="1"/>
    <row r="52" ht="22" customHeight="1"/>
    <row r="53" ht="22" customHeight="1"/>
    <row r="54" ht="22" customHeight="1"/>
    <row r="55" ht="22" customHeight="1"/>
    <row r="56" ht="22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  <row r="80" ht="22" customHeight="1"/>
    <row r="81" ht="22" customHeight="1"/>
    <row r="82" ht="22" customHeight="1"/>
    <row r="83" ht="22" customHeight="1"/>
    <row r="84" ht="22" customHeight="1"/>
    <row r="85" ht="22" customHeight="1"/>
    <row r="86" ht="22" customHeight="1"/>
    <row r="87" ht="22" customHeight="1"/>
    <row r="88" ht="22" customHeight="1"/>
    <row r="89" ht="22" customHeight="1"/>
    <row r="90" ht="22" customHeight="1"/>
    <row r="91" ht="22" customHeight="1"/>
    <row r="92" ht="22" customHeight="1"/>
    <row r="93" ht="22" customHeight="1"/>
    <row r="94" ht="22" customHeight="1"/>
    <row r="95" ht="22" customHeight="1"/>
    <row r="96" ht="22" customHeight="1"/>
    <row r="97" ht="22" customHeight="1"/>
    <row r="98" ht="22" customHeight="1"/>
    <row r="99" ht="22" customHeight="1"/>
    <row r="100" ht="22" customHeight="1"/>
    <row r="101" ht="22" customHeight="1"/>
    <row r="102" ht="22" customHeight="1"/>
    <row r="103" ht="22" customHeight="1"/>
    <row r="104" ht="22" customHeight="1"/>
    <row r="105" ht="22" customHeight="1"/>
    <row r="106" ht="22" customHeight="1"/>
    <row r="107" ht="22" customHeight="1"/>
    <row r="108" ht="22" customHeight="1"/>
    <row r="109" ht="22" customHeight="1"/>
    <row r="110" ht="22" customHeight="1"/>
    <row r="111" ht="22" customHeight="1"/>
    <row r="112" ht="22" customHeight="1"/>
    <row r="113" ht="22" customHeight="1"/>
    <row r="114" ht="22" customHeight="1"/>
    <row r="115" ht="22" customHeight="1"/>
    <row r="116" ht="22" customHeight="1"/>
    <row r="117" ht="22" customHeight="1"/>
    <row r="118" ht="22" customHeight="1"/>
    <row r="119" ht="22" customHeight="1"/>
  </sheetData>
  <mergeCells count="2">
    <mergeCell ref="A1:J1"/>
    <mergeCell ref="A2:J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22"/>
  <cols>
    <col width="18" customWidth="1" min="1" max="1"/>
    <col width="90" customWidth="1" min="2" max="2"/>
    <col width="16" customWidth="1" min="3" max="3"/>
    <col width="16" customWidth="1" min="4" max="4"/>
  </cols>
  <sheetData>
    <row r="1" ht="34" customHeight="1">
      <c r="A1" s="1" t="inlineStr">
        <is>
          <t>Assumptions And Limits</t>
        </is>
      </c>
      <c r="B1" s="1" t="n"/>
      <c r="C1" s="1" t="n"/>
      <c r="D1" s="1" t="n"/>
    </row>
    <row r="2" ht="24" customHeight="1">
      <c r="A2" s="2" t="inlineStr">
        <is>
          <t>Scope boundaries for the simulated portfolio workbook.</t>
        </is>
      </c>
      <c r="B2" s="2" t="n"/>
      <c r="C2" s="2" t="n"/>
      <c r="D2" s="2" t="n"/>
    </row>
    <row r="3" ht="5" customHeight="1">
      <c r="A3" s="3" t="n"/>
      <c r="B3" s="3" t="n"/>
      <c r="C3" s="3" t="n"/>
      <c r="D3" s="3" t="n"/>
    </row>
    <row r="4" ht="22" customHeight="1">
      <c r="A4" s="15" t="inlineStr">
        <is>
          <t>Area</t>
        </is>
      </c>
      <c r="B4" s="15" t="inlineStr">
        <is>
          <t>Statement</t>
        </is>
      </c>
      <c r="C4" s="8" t="n"/>
      <c r="D4" s="8" t="n"/>
    </row>
    <row r="5" ht="22" customHeight="1">
      <c r="A5" s="16" t="inlineStr">
        <is>
          <t>Scope</t>
        </is>
      </c>
      <c r="B5" s="16" t="inlineStr">
        <is>
          <t>Six-week simulated campaign analytics case study.</t>
        </is>
      </c>
      <c r="C5" s="8" t="n"/>
      <c r="D5" s="8" t="n"/>
    </row>
    <row r="6" ht="22" customHeight="1">
      <c r="A6" s="17" t="inlineStr">
        <is>
          <t>Data</t>
        </is>
      </c>
      <c r="B6" s="17" t="inlineStr">
        <is>
          <t>No real company, client, user, advertising or analytics data.</t>
        </is>
      </c>
      <c r="C6" s="8" t="n"/>
      <c r="D6" s="8" t="n"/>
    </row>
    <row r="7" ht="22" customHeight="1">
      <c r="A7" s="16" t="inlineStr">
        <is>
          <t>Attribution</t>
        </is>
      </c>
      <c r="B7" s="16" t="inlineStr">
        <is>
          <t>Simplified last-touch style revenue attribution.</t>
        </is>
      </c>
      <c r="C7" s="8" t="n"/>
      <c r="D7" s="8" t="n"/>
    </row>
    <row r="8" ht="22" customHeight="1">
      <c r="A8" s="17" t="inlineStr">
        <is>
          <t>Use</t>
        </is>
      </c>
      <c r="B8" s="17" t="inlineStr">
        <is>
          <t>Portfolio evidence for junior web, digital and campaign analytics roles.</t>
        </is>
      </c>
      <c r="C8" s="8" t="n"/>
      <c r="D8" s="8" t="n"/>
    </row>
    <row r="9" ht="22" customHeight="1">
      <c r="A9" s="16" t="inlineStr">
        <is>
          <t>Limit</t>
        </is>
      </c>
      <c r="B9" s="16" t="inlineStr">
        <is>
          <t>No creative-level, keyword-level, consent-mode, offline conversion or incrementality data.</t>
        </is>
      </c>
      <c r="C9" s="8" t="n"/>
      <c r="D9" s="8" t="n"/>
    </row>
    <row r="10" ht="22" customHeight="1"/>
    <row r="11" ht="22" customHeight="1"/>
    <row r="12" ht="22" customHeight="1"/>
    <row r="13" ht="22" customHeight="1"/>
    <row r="14" ht="22" customHeight="1"/>
    <row r="15" ht="22" customHeight="1"/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22" customHeight="1"/>
    <row r="24" ht="22" customHeight="1"/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  <row r="33" ht="22" customHeight="1"/>
    <row r="34" ht="22" customHeight="1"/>
    <row r="35" ht="22" customHeight="1"/>
    <row r="36" ht="22" customHeight="1"/>
    <row r="37" ht="22" customHeight="1"/>
    <row r="38" ht="22" customHeight="1"/>
    <row r="39" ht="22" customHeight="1"/>
    <row r="40" ht="22" customHeight="1"/>
    <row r="41" ht="22" customHeight="1"/>
    <row r="42" ht="22" customHeight="1"/>
    <row r="43" ht="22" customHeight="1"/>
    <row r="44" ht="22" customHeight="1"/>
    <row r="45" ht="22" customHeight="1"/>
    <row r="46" ht="22" customHeight="1"/>
    <row r="47" ht="22" customHeight="1"/>
    <row r="48" ht="22" customHeight="1"/>
    <row r="49" ht="22" customHeight="1"/>
    <row r="50" ht="22" customHeight="1"/>
    <row r="51" ht="22" customHeight="1"/>
    <row r="52" ht="22" customHeight="1"/>
    <row r="53" ht="22" customHeight="1"/>
    <row r="54" ht="22" customHeight="1"/>
    <row r="55" ht="22" customHeight="1"/>
    <row r="56" ht="22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  <row r="80" ht="22" customHeight="1"/>
    <row r="81" ht="22" customHeight="1"/>
    <row r="82" ht="22" customHeight="1"/>
    <row r="83" ht="22" customHeight="1"/>
    <row r="84" ht="22" customHeight="1"/>
    <row r="85" ht="22" customHeight="1"/>
    <row r="86" ht="22" customHeight="1"/>
    <row r="87" ht="22" customHeight="1"/>
    <row r="88" ht="22" customHeight="1"/>
    <row r="89" ht="22" customHeight="1"/>
    <row r="90" ht="22" customHeight="1"/>
    <row r="91" ht="22" customHeight="1"/>
    <row r="92" ht="22" customHeight="1"/>
    <row r="93" ht="22" customHeight="1"/>
    <row r="94" ht="22" customHeight="1"/>
    <row r="95" ht="22" customHeight="1"/>
    <row r="96" ht="22" customHeight="1"/>
    <row r="97" ht="22" customHeight="1"/>
    <row r="98" ht="22" customHeight="1"/>
    <row r="99" ht="22" customHeight="1"/>
    <row r="100" ht="22" customHeight="1"/>
    <row r="101" ht="22" customHeight="1"/>
    <row r="102" ht="22" customHeight="1"/>
    <row r="103" ht="22" customHeight="1"/>
    <row r="104" ht="22" customHeight="1"/>
    <row r="105" ht="22" customHeight="1"/>
    <row r="106" ht="22" customHeight="1"/>
    <row r="107" ht="22" customHeight="1"/>
    <row r="108" ht="22" customHeight="1"/>
    <row r="109" ht="22" customHeight="1"/>
    <row r="110" ht="22" customHeight="1"/>
    <row r="111" ht="22" customHeight="1"/>
    <row r="112" ht="22" customHeight="1"/>
    <row r="113" ht="22" customHeight="1"/>
    <row r="114" ht="22" customHeight="1"/>
    <row r="115" ht="22" customHeight="1"/>
    <row r="116" ht="22" customHeight="1"/>
    <row r="117" ht="22" customHeight="1"/>
    <row r="118" ht="22" customHeight="1"/>
    <row r="119" ht="22" customHeight="1"/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2026-05-16T16:34:13Z</dcterms:created>
  <dcterms:modified xsi:type="dcterms:W3CDTF">2026-05-16T16:34:14Z</dcterms:modified>
</cp:coreProperties>
</file>